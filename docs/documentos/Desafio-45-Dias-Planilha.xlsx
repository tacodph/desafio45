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Minhas metas" sheetId="2" state="visible" r:id="rId2"/>
    <sheet xmlns:r="http://schemas.openxmlformats.org/officeDocument/2006/relationships" name="Acompanhamento" sheetId="3" state="visible" r:id="rId3"/>
    <sheet xmlns:r="http://schemas.openxmlformats.org/officeDocument/2006/relationships" name="Conquistas" sheetId="4" state="visible" r:id="rId4"/>
    <sheet xmlns:r="http://schemas.openxmlformats.org/officeDocument/2006/relationships" name="Resumo semanal" sheetId="5" state="visible" r:id="rId5"/>
    <sheet xmlns:r="http://schemas.openxmlformats.org/officeDocument/2006/relationships" name="Ranking Geral" sheetId="6" state="visible" r:id="rId6"/>
    <sheet xmlns:r="http://schemas.openxmlformats.org/officeDocument/2006/relationships" name="Ranking Semanal" sheetId="7" state="visible" r:id="rId7"/>
    <sheet xmlns:r="http://schemas.openxmlformats.org/officeDocument/2006/relationships" name="Penalidade Solidár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"/>
    <numFmt numFmtId="166" formatCode="DD/MM/YYYY"/>
    <numFmt numFmtId="167" formatCode="&quot;R$&quot; #,##0.00"/>
  </numFmts>
  <fonts count="12">
    <font>
      <name val="Calibri"/>
      <family val="2"/>
      <color theme="1"/>
      <sz val="11"/>
      <scheme val="minor"/>
    </font>
    <font>
      <b val="1"/>
      <color rgb="00F5B800"/>
      <sz val="16"/>
    </font>
    <font>
      <i val="1"/>
      <color rgb="00FFFFFF"/>
      <sz val="11"/>
    </font>
    <font>
      <b val="1"/>
      <color rgb="00111111"/>
      <sz val="13"/>
    </font>
    <font>
      <b val="1"/>
    </font>
    <font>
      <b val="1"/>
      <color rgb="00FFFFFF"/>
    </font>
    <font>
      <b val="1"/>
      <sz val="13"/>
    </font>
    <font>
      <i val="1"/>
      <color rgb="00616161"/>
    </font>
    <font>
      <b val="1"/>
      <color rgb="00FFFFFF"/>
      <sz val="13"/>
    </font>
    <font>
      <b val="1"/>
      <color rgb="00111111"/>
    </font>
    <font>
      <b val="1"/>
      <color rgb="0043A047"/>
    </font>
    <font>
      <b val="1"/>
      <color rgb="00F5B800"/>
    </font>
  </fonts>
  <fills count="14">
    <fill>
      <patternFill/>
    </fill>
    <fill>
      <patternFill patternType="gray125"/>
    </fill>
    <fill>
      <patternFill patternType="solid">
        <fgColor rgb="00111111"/>
        <bgColor rgb="00111111"/>
      </patternFill>
    </fill>
    <fill>
      <patternFill patternType="solid">
        <fgColor rgb="00F5B800"/>
        <bgColor rgb="00F5B800"/>
      </patternFill>
    </fill>
    <fill>
      <patternFill patternType="solid">
        <fgColor rgb="00FFFFFF"/>
        <bgColor rgb="00FFFFFF"/>
      </patternFill>
    </fill>
    <fill>
      <patternFill patternType="solid">
        <fgColor rgb="00FFF8E1"/>
        <bgColor rgb="00FFF8E1"/>
      </patternFill>
    </fill>
    <fill>
      <patternFill patternType="solid">
        <fgColor rgb="0043A047"/>
        <bgColor rgb="0043A047"/>
      </patternFill>
    </fill>
    <fill>
      <patternFill patternType="solid">
        <fgColor rgb="00E53935"/>
        <bgColor rgb="00E53935"/>
      </patternFill>
    </fill>
    <fill>
      <patternFill patternType="solid">
        <fgColor rgb="001E88E5"/>
        <bgColor rgb="001E88E5"/>
      </patternFill>
    </fill>
    <fill>
      <patternFill patternType="solid">
        <fgColor rgb="008E24AA"/>
        <bgColor rgb="008E24AA"/>
      </patternFill>
    </fill>
    <fill>
      <patternFill patternType="solid">
        <fgColor rgb="00FDECEA"/>
        <bgColor rgb="00FDECEA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/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7" fillId="0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6" borderId="0" pivotButton="0" quotePrefix="0" xfId="0"/>
    <xf numFmtId="0" fontId="0" fillId="6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6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>
        <b val="1"/>
        <color rgb="002E7D32"/>
      </font>
    </dxf>
    <dxf>
      <font>
        <b val="1"/>
        <color rgb="00C62828"/>
      </font>
    </dxf>
    <dxf>
      <fill>
        <patternFill patternType="solid">
          <fgColor rgb="00F5B800"/>
          <bgColor rgb="00F5B800"/>
        </patternFill>
      </fill>
    </dxf>
    <dxf>
      <fill>
        <patternFill patternType="solid">
          <fgColor rgb="00FFE082"/>
          <bgColor rgb="00FFE082"/>
        </patternFill>
      </fill>
    </dxf>
    <dxf>
      <fill>
        <patternFill patternType="solid">
          <fgColor rgb="00EEEEEE"/>
          <bgColor rgb="00EEEEEE"/>
        </patternFill>
      </fill>
    </dxf>
    <dxf>
      <fill>
        <patternFill patternType="solid">
          <fgColor rgb="00FFE0B2"/>
          <bgColor rgb="00FFE0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58" customWidth="1" min="1" max="1"/>
    <col width="8" customWidth="1" min="2" max="2"/>
    <col width="9" customWidth="1" min="3" max="3"/>
    <col width="18" customWidth="1" min="4" max="4"/>
  </cols>
  <sheetData>
    <row r="1" ht="30" customHeight="1">
      <c r="A1" s="1" t="inlineStr">
        <is>
          <t>DESAFIO 45 DIAS · ANTES DO VERÃO</t>
        </is>
      </c>
      <c r="B1" s="2" t="n"/>
      <c r="C1" s="2" t="n"/>
      <c r="D1" s="2" t="n"/>
    </row>
    <row r="2">
      <c r="A2" s="3" t="inlineStr">
        <is>
          <t>6 de novembro a 20 de dezembro de 2026 · A gente cresce junto</t>
        </is>
      </c>
      <c r="B2" s="2" t="n"/>
      <c r="C2" s="2" t="n"/>
      <c r="D2" s="2" t="n"/>
    </row>
    <row r="4">
      <c r="A4" s="4" t="inlineStr">
        <is>
          <t>COMO USAR ESTA PLANILHA</t>
        </is>
      </c>
      <c r="B4" s="5" t="n"/>
      <c r="C4" s="5" t="n"/>
      <c r="D4" s="5" t="n"/>
    </row>
    <row r="5">
      <c r="A5" s="6" t="inlineStr">
        <is>
          <t>1. MINHAS METAS</t>
        </is>
      </c>
    </row>
    <row r="6">
      <c r="A6" s="7" t="inlineStr">
        <is>
          <t xml:space="preserve">   • Preencha no dia 1: nome, nível de movimento, metas de água e sono, habilidade e meta de Corpo forte.</t>
        </is>
      </c>
    </row>
    <row r="7">
      <c r="A7" s="7" t="inlineStr">
        <is>
          <t xml:space="preserve">   • Registre os testes de Corpo forte nos dias 1, 15, 30 e 45.</t>
        </is>
      </c>
    </row>
    <row r="8">
      <c r="A8" s="6" t="inlineStr">
        <is>
          <t>2. ACOMPANHAMENTO DIÁRIO</t>
        </is>
      </c>
    </row>
    <row r="9">
      <c r="A9" s="7" t="inlineStr">
        <is>
          <t xml:space="preserve">   • Marque ✓ quando cumprir e ✗ quando não cumprir (use a lista da célula).</t>
        </is>
      </c>
    </row>
    <row r="10">
      <c r="A10" s="7" t="inlineStr">
        <is>
          <t xml:space="preserve">   • Em Objetivo Plus, informe quantos fez no dia (0, 1, 2…).</t>
        </is>
      </c>
    </row>
    <row r="11">
      <c r="A11" s="7" t="inlineStr">
        <is>
          <t xml:space="preserve">   • Os pontos do dia são calculados sozinhos (máximo 10).</t>
        </is>
      </c>
    </row>
    <row r="12">
      <c r="A12" s="6" t="inlineStr">
        <is>
          <t>3. CONQUISTAS</t>
        </is>
      </c>
    </row>
    <row r="13">
      <c r="A13" s="7" t="inlineStr">
        <is>
          <t xml:space="preserve">   • Registre cada conquista com a data. Os pontos e a semana são preenchidos sozinhos.</t>
        </is>
      </c>
    </row>
    <row r="14">
      <c r="A14" s="6" t="inlineStr">
        <is>
          <t>4. RESUMO SEMANAL</t>
        </is>
      </c>
    </row>
    <row r="15">
      <c r="A15" s="7" t="inlineStr">
        <is>
          <t xml:space="preserve">   • Calculado automaticamente: pontos diários + bônus da semana + conquistas.</t>
        </is>
      </c>
    </row>
    <row r="16">
      <c r="A16" s="7" t="inlineStr">
        <is>
          <t xml:space="preserve">   • Envie o total da semana ao organizador todo domingo.</t>
        </is>
      </c>
    </row>
    <row r="17">
      <c r="A17" s="6" t="inlineStr">
        <is>
          <t>5. RANKING (organizador)</t>
        </is>
      </c>
    </row>
    <row r="18">
      <c r="A18" s="7" t="inlineStr">
        <is>
          <t xml:space="preserve">   • O organizador lança o total semanal de cada participante em Ranking Geral.</t>
        </is>
      </c>
    </row>
    <row r="19">
      <c r="A19" s="7" t="inlineStr">
        <is>
          <t xml:space="preserve">   • Ranking publicado todo domingo. 1º lugar escolhe o restaurante da celebração.</t>
        </is>
      </c>
    </row>
    <row r="20">
      <c r="A20" s="6" t="inlineStr">
        <is>
          <t>6. PENALIDADE SOLIDÁRIA (opcional, combinar no dia 1)</t>
        </is>
      </c>
    </row>
    <row r="21">
      <c r="A21" s="7" t="inlineStr">
        <is>
          <t xml:space="preserve">   • R$ 10,00 por dia sem check-in, para doação ou para a comemoração final.</t>
        </is>
      </c>
    </row>
    <row r="22">
      <c r="A22" s="7" t="inlineStr"/>
    </row>
    <row r="23">
      <c r="A23" s="4" t="inlineStr">
        <is>
          <t>PONTUAÇÃO DIÁRIA</t>
        </is>
      </c>
      <c r="B23" s="5" t="n"/>
      <c r="C23" s="5" t="n"/>
      <c r="D23" s="5" t="n"/>
    </row>
    <row r="24" ht="36" customHeight="1">
      <c r="A24" s="8" t="inlineStr">
        <is>
          <t>Item</t>
        </is>
      </c>
      <c r="B24" s="8" t="inlineStr">
        <is>
          <t>Emoji</t>
        </is>
      </c>
      <c r="C24" s="8" t="inlineStr">
        <is>
          <t>Pontos</t>
        </is>
      </c>
      <c r="D24" s="8" t="inlineStr">
        <is>
          <t>Frequência</t>
        </is>
      </c>
    </row>
    <row r="25">
      <c r="A25" s="9" t="inlineStr">
        <is>
          <t>Check-in enviado no dia</t>
        </is>
      </c>
      <c r="B25" s="9" t="inlineStr">
        <is>
          <t>✅</t>
        </is>
      </c>
      <c r="C25" s="9" t="n">
        <v>1</v>
      </c>
      <c r="D25" s="9" t="inlineStr">
        <is>
          <t>Diário</t>
        </is>
      </c>
    </row>
    <row r="26">
      <c r="A26" s="9" t="inlineStr">
        <is>
          <t>Movimento e treino</t>
        </is>
      </c>
      <c r="B26" s="9" t="inlineStr">
        <is>
          <t>🏋️</t>
        </is>
      </c>
      <c r="C26" s="9" t="n">
        <v>3</v>
      </c>
      <c r="D26" s="9" t="inlineStr">
        <is>
          <t>Diário</t>
        </is>
      </c>
    </row>
    <row r="27">
      <c r="A27" s="9" t="inlineStr">
        <is>
          <t>Hidratação (meta de água)</t>
        </is>
      </c>
      <c r="B27" s="9" t="inlineStr">
        <is>
          <t>💧</t>
        </is>
      </c>
      <c r="C27" s="9" t="n">
        <v>1</v>
      </c>
      <c r="D27" s="9" t="inlineStr">
        <is>
          <t>Diário</t>
        </is>
      </c>
    </row>
    <row r="28">
      <c r="A28" s="9" t="inlineStr">
        <is>
          <t>Sono (meta de sono)</t>
        </is>
      </c>
      <c r="B28" s="9" t="inlineStr">
        <is>
          <t>🌙</t>
        </is>
      </c>
      <c r="C28" s="9" t="n">
        <v>1</v>
      </c>
      <c r="D28" s="9" t="inlineStr">
        <is>
          <t>Diário</t>
        </is>
      </c>
    </row>
    <row r="29">
      <c r="A29" s="9" t="inlineStr">
        <is>
          <t>Corpo forte (dia de treino da meta)</t>
        </is>
      </c>
      <c r="B29" s="9" t="inlineStr">
        <is>
          <t>💪</t>
        </is>
      </c>
      <c r="C29" s="9" t="n">
        <v>2</v>
      </c>
      <c r="D29" s="9" t="inlineStr">
        <is>
          <t>4x por semana</t>
        </is>
      </c>
    </row>
    <row r="30">
      <c r="A30" s="9" t="inlineStr">
        <is>
          <t>Habilidade nova (dia de prática)</t>
        </is>
      </c>
      <c r="B30" s="9" t="inlineStr">
        <is>
          <t>💡</t>
        </is>
      </c>
      <c r="C30" s="9" t="n">
        <v>2</v>
      </c>
      <c r="D30" s="9" t="inlineStr">
        <is>
          <t>3x por semana</t>
        </is>
      </c>
    </row>
    <row r="31">
      <c r="A31" s="10" t="inlineStr">
        <is>
          <t>Máximo por dia</t>
        </is>
      </c>
      <c r="B31" s="9" t="inlineStr"/>
      <c r="C31" s="10" t="n">
        <v>10</v>
      </c>
      <c r="D31" s="9" t="inlineStr"/>
    </row>
    <row r="33">
      <c r="A33" s="11" t="inlineStr">
        <is>
          <t>BÔNUS DA SEMANA E CONQUISTAS</t>
        </is>
      </c>
      <c r="B33" s="5" t="n"/>
      <c r="C33" s="5" t="n"/>
      <c r="D33" s="5" t="n"/>
    </row>
    <row r="34" ht="36" customHeight="1">
      <c r="A34" s="8" t="inlineStr">
        <is>
          <t>Bônus / conquista</t>
        </is>
      </c>
      <c r="B34" s="8" t="inlineStr">
        <is>
          <t>Emoji</t>
        </is>
      </c>
      <c r="C34" s="8" t="inlineStr">
        <is>
          <t>Pontos</t>
        </is>
      </c>
      <c r="D34" s="8" t="inlineStr">
        <is>
          <t>Como conta</t>
        </is>
      </c>
    </row>
    <row r="35">
      <c r="A35" s="9" t="inlineStr">
        <is>
          <t>Objetivo Plus (até 2 por semana)</t>
        </is>
      </c>
      <c r="B35" s="9" t="inlineStr">
        <is>
          <t>⭐</t>
        </is>
      </c>
      <c r="C35" s="9" t="n">
        <v>5</v>
      </c>
      <c r="D35" s="9" t="inlineStr">
        <is>
          <t>Automático, cada</t>
        </is>
      </c>
    </row>
    <row r="36">
      <c r="A36" s="9" t="inlineStr">
        <is>
          <t>Semana consistente (check-in em 6 de 7 dias)</t>
        </is>
      </c>
      <c r="B36" s="9" t="inlineStr">
        <is>
          <t>🔥</t>
        </is>
      </c>
      <c r="C36" s="9" t="n">
        <v>10</v>
      </c>
      <c r="D36" s="9" t="inlineStr">
        <is>
          <t>Automático</t>
        </is>
      </c>
    </row>
    <row r="37">
      <c r="A37" s="9" t="inlineStr">
        <is>
          <t>Metas semanais (Habilidade 3x e Corpo forte 4x)</t>
        </is>
      </c>
      <c r="B37" s="9" t="inlineStr">
        <is>
          <t>🎯</t>
        </is>
      </c>
      <c r="C37" s="9" t="n">
        <v>10</v>
      </c>
      <c r="D37" s="9" t="inlineStr">
        <is>
          <t>Automático</t>
        </is>
      </c>
    </row>
    <row r="38">
      <c r="A38" s="9" t="inlineStr">
        <is>
          <t>Evolução no teste de Corpo forte (dias 15, 30, 45)</t>
        </is>
      </c>
      <c r="B38" s="9" t="inlineStr">
        <is>
          <t>💪</t>
        </is>
      </c>
      <c r="C38" s="9" t="n">
        <v>10</v>
      </c>
      <c r="D38" s="9" t="inlineStr">
        <is>
          <t>Conquistas</t>
        </is>
      </c>
    </row>
    <row r="39">
      <c r="A39" s="9" t="inlineStr">
        <is>
          <t>Demonstração da Habilidade nova no dia 45</t>
        </is>
      </c>
      <c r="B39" s="9" t="inlineStr">
        <is>
          <t>💡</t>
        </is>
      </c>
      <c r="C39" s="9" t="n">
        <v>15</v>
      </c>
      <c r="D39" s="9" t="inlineStr">
        <is>
          <t>Conquistas</t>
        </is>
      </c>
    </row>
    <row r="40">
      <c r="A40" s="9" t="inlineStr">
        <is>
          <t>Motivar um amigo desanimado</t>
        </is>
      </c>
      <c r="B40" s="9" t="inlineStr">
        <is>
          <t>🤝</t>
        </is>
      </c>
      <c r="C40" s="9" t="n">
        <v>5</v>
      </c>
      <c r="D40" s="9" t="inlineStr">
        <is>
          <t>Conquistas</t>
        </is>
      </c>
    </row>
    <row r="41">
      <c r="A41" s="9" t="inlineStr">
        <is>
          <t>Primeira vez acertando algo novo</t>
        </is>
      </c>
      <c r="B41" s="9" t="inlineStr">
        <is>
          <t>🏅</t>
        </is>
      </c>
      <c r="C41" s="9" t="n">
        <v>5</v>
      </c>
      <c r="D41" s="9" t="inlineStr">
        <is>
          <t>Conquistas</t>
        </is>
      </c>
    </row>
    <row r="43">
      <c r="A43" s="12" t="inlineStr">
        <is>
          <t>Na semana 1 (só 3 dias) as metas semanais são proporcionais: 3 check-ins, 2 de Habilidade e 2 de Corpo forte.</t>
        </is>
      </c>
    </row>
    <row r="44">
      <c r="A44" s="12" t="inlineStr">
        <is>
          <t>Check-in no grupo até as 23h com foto + checklist. Pontua quem participa, não quem é perfeito.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48" customWidth="1" min="3" max="3"/>
    <col width="28" customWidth="1" min="4" max="4"/>
  </cols>
  <sheetData>
    <row r="1" ht="30" customHeight="1">
      <c r="A1" s="1" t="inlineStr">
        <is>
          <t>MINHAS METAS</t>
        </is>
      </c>
      <c r="B1" s="2" t="n"/>
      <c r="C1" s="2" t="n"/>
      <c r="D1" s="2" t="n"/>
    </row>
    <row r="2">
      <c r="A2" s="3" t="inlineStr">
        <is>
          <t>Preencha no dia 1 (6/11). Pode ajustar nos dias 15 e 30.</t>
        </is>
      </c>
      <c r="B2" s="2" t="n"/>
      <c r="C2" s="2" t="n"/>
      <c r="D2" s="2" t="n"/>
    </row>
    <row r="4" ht="36" customHeight="1">
      <c r="A4" s="8" t="inlineStr">
        <is>
          <t>Campo</t>
        </is>
      </c>
      <c r="B4" s="8" t="inlineStr">
        <is>
          <t>Minha meta</t>
        </is>
      </c>
      <c r="C4" s="8" t="inlineStr">
        <is>
          <t>Referência</t>
        </is>
      </c>
      <c r="D4" s="13" t="inlineStr"/>
    </row>
    <row r="5">
      <c r="A5" s="14" t="inlineStr">
        <is>
          <t>Participante</t>
        </is>
      </c>
      <c r="B5" s="15" t="n"/>
      <c r="C5" s="16" t="inlineStr"/>
    </row>
    <row r="6">
      <c r="A6" s="14" t="inlineStr">
        <is>
          <t>Nível de movimento</t>
        </is>
      </c>
      <c r="B6" s="15" t="n"/>
      <c r="C6" s="16" t="inlineStr">
        <is>
          <t>Iniciante (20–30 min) · Intermediário (30–45 min) · Avançado (45+ min)</t>
        </is>
      </c>
    </row>
    <row r="7">
      <c r="A7" s="14" t="inlineStr">
        <is>
          <t>Meta diária de movimento (min)</t>
        </is>
      </c>
      <c r="B7" s="15" t="n"/>
      <c r="C7" s="16" t="inlineStr">
        <is>
          <t>Referência: 45 min</t>
        </is>
      </c>
    </row>
    <row r="8">
      <c r="A8" s="14" t="inlineStr">
        <is>
          <t>Meta diária de água (L)</t>
        </is>
      </c>
      <c r="B8" s="15" t="n"/>
      <c r="C8" s="16" t="inlineStr">
        <is>
          <t>Referência: 35 ml por kg</t>
        </is>
      </c>
    </row>
    <row r="9">
      <c r="A9" s="14" t="inlineStr">
        <is>
          <t>Meta de sono</t>
        </is>
      </c>
      <c r="B9" s="15" t="n"/>
      <c r="C9" s="16" t="inlineStr">
        <is>
          <t>Ex.: 7h por noite ou deitar às 23h (±30 min)</t>
        </is>
      </c>
    </row>
    <row r="10">
      <c r="A10" s="14" t="inlineStr">
        <is>
          <t>Habilidade nova escolhida</t>
        </is>
      </c>
      <c r="B10" s="15" t="n"/>
      <c r="C10" s="16" t="inlineStr">
        <is>
          <t>Ex.: cozinhar 5 pratos saudáveis, marmitas da semana</t>
        </is>
      </c>
    </row>
    <row r="11">
      <c r="A11" s="14" t="inlineStr">
        <is>
          <t>Meta de Corpo forte</t>
        </is>
      </c>
      <c r="B11" s="15" t="n"/>
      <c r="C11" s="16" t="inlineStr">
        <is>
          <t>Ex.: 3 x 60 s de prancha, 1 barra completa</t>
        </is>
      </c>
    </row>
    <row r="13">
      <c r="A13" s="17" t="inlineStr">
        <is>
          <t>TESTES DE CORPO FORTE</t>
        </is>
      </c>
      <c r="B13" s="18" t="n"/>
      <c r="C13" s="18" t="n"/>
      <c r="D13" s="18" t="n"/>
    </row>
    <row r="14" ht="36" customHeight="1">
      <c r="A14" s="19" t="inlineStr">
        <is>
          <t>Teste</t>
        </is>
      </c>
      <c r="B14" s="19" t="inlineStr">
        <is>
          <t>Data</t>
        </is>
      </c>
      <c r="C14" s="19" t="inlineStr">
        <is>
          <t>Resultado</t>
        </is>
      </c>
      <c r="D14" s="19" t="inlineStr">
        <is>
          <t>Evoluiu? (+10 em Conquistas)</t>
        </is>
      </c>
    </row>
    <row r="15">
      <c r="A15" s="9" t="inlineStr">
        <is>
          <t>Dia 1 · teste inicial</t>
        </is>
      </c>
      <c r="B15" s="9" t="inlineStr">
        <is>
          <t>06/11/2026</t>
        </is>
      </c>
      <c r="C15" s="9" t="n"/>
      <c r="D15" s="9" t="inlineStr">
        <is>
          <t>—</t>
        </is>
      </c>
    </row>
    <row r="16">
      <c r="A16" s="9" t="inlineStr">
        <is>
          <t>Dia 15</t>
        </is>
      </c>
      <c r="B16" s="9" t="inlineStr">
        <is>
          <t>20/11/2026</t>
        </is>
      </c>
      <c r="C16" s="9" t="n"/>
      <c r="D16" s="9">
        <f>IF(OR(C16="",C15=""),"",IF(C16&gt;C15,"Sim","Não"))</f>
        <v/>
      </c>
    </row>
    <row r="17">
      <c r="A17" s="9" t="inlineStr">
        <is>
          <t>Dia 30</t>
        </is>
      </c>
      <c r="B17" s="9" t="inlineStr">
        <is>
          <t>05/12/2026</t>
        </is>
      </c>
      <c r="C17" s="9" t="n"/>
      <c r="D17" s="9">
        <f>IF(OR(C17="",C16=""),"",IF(C17&gt;C16,"Sim","Não"))</f>
        <v/>
      </c>
    </row>
    <row r="18">
      <c r="A18" s="9" t="inlineStr">
        <is>
          <t>Dia 45 · teste final</t>
        </is>
      </c>
      <c r="B18" s="9" t="inlineStr">
        <is>
          <t>20/12/2026</t>
        </is>
      </c>
      <c r="C18" s="9" t="n"/>
      <c r="D18" s="9">
        <f>IF(OR(C18="",C17=""),"",IF(C18&gt;C17,"Sim","Não"))</f>
        <v/>
      </c>
    </row>
    <row r="19">
      <c r="A19" s="12" t="inlineStr">
        <is>
          <t>Use números no Resultado (repetições, segundos, quilos) para a comparação funcionar.</t>
        </is>
      </c>
    </row>
  </sheetData>
  <mergeCells count="2">
    <mergeCell ref="A1:D1"/>
    <mergeCell ref="A2:D2"/>
  </mergeCells>
  <dataValidations count="1">
    <dataValidation sqref="B6" showDropDown="0" showInputMessage="0" showErrorMessage="0" allowBlank="1" type="list">
      <formula1>"Iniciante,Intermediário,Avançado"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1" customWidth="1" min="5" max="5"/>
    <col width="14" customWidth="1" min="6" max="6"/>
    <col width="9" customWidth="1" min="7" max="7"/>
    <col width="9" customWidth="1" min="8" max="8"/>
    <col width="12" customWidth="1" min="9" max="9"/>
    <col width="13" customWidth="1" min="10" max="10"/>
    <col width="11" customWidth="1" min="11" max="11"/>
    <col width="10" customWidth="1" min="12" max="12"/>
    <col width="36" customWidth="1" min="13" max="13"/>
  </cols>
  <sheetData>
    <row r="1" ht="30" customHeight="1">
      <c r="A1" s="1" t="inlineStr">
        <is>
          <t>DESAFIO 45 DIAS · ACOMPANHAMENTO DIÁRIO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Legenda: ✓ = cumpriu · ✗ = não cumpriu · Objetivo Plus = quantidade no dia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4" ht="48" customHeight="1">
      <c r="A4" s="8" t="inlineStr">
        <is>
          <t>Data</t>
        </is>
      </c>
      <c r="B4" s="8" t="inlineStr">
        <is>
          <t>Dia</t>
        </is>
      </c>
      <c r="C4" s="8" t="inlineStr">
        <is>
          <t>Dia da semana</t>
        </is>
      </c>
      <c r="D4" s="8" t="inlineStr">
        <is>
          <t>Semana</t>
        </is>
      </c>
      <c r="E4" s="8" t="inlineStr">
        <is>
          <t>Check-in ✅
(1 pt)</t>
        </is>
      </c>
      <c r="F4" s="20" t="inlineStr">
        <is>
          <t>Movimento e treino 🏋️
(3 pts)</t>
        </is>
      </c>
      <c r="G4" s="21" t="inlineStr">
        <is>
          <t>Água 💧
(1 pt)</t>
        </is>
      </c>
      <c r="H4" s="21" t="inlineStr">
        <is>
          <t>Sono 🌙
(1 pt)</t>
        </is>
      </c>
      <c r="I4" s="19" t="inlineStr">
        <is>
          <t>Corpo forte 💪
(2 pts)</t>
        </is>
      </c>
      <c r="J4" s="22" t="inlineStr">
        <is>
          <t>Habilidade nova 💡
(2 pts)</t>
        </is>
      </c>
      <c r="K4" s="23" t="inlineStr">
        <is>
          <t>Objetivo Plus ⭐
(qtd)</t>
        </is>
      </c>
      <c r="L4" s="23" t="inlineStr">
        <is>
          <t>Pontos do dia</t>
        </is>
      </c>
      <c r="M4" s="8" t="inlineStr">
        <is>
          <t>Observações</t>
        </is>
      </c>
    </row>
    <row r="5">
      <c r="A5" s="24" t="n">
        <v>46332</v>
      </c>
      <c r="B5" s="25" t="inlineStr">
        <is>
          <t>Dia 1</t>
        </is>
      </c>
      <c r="C5" s="25" t="inlineStr">
        <is>
          <t>sex</t>
        </is>
      </c>
      <c r="D5" s="25" t="n">
        <v>1</v>
      </c>
      <c r="E5" s="9" t="n"/>
      <c r="F5" s="26" t="n"/>
      <c r="G5" s="27" t="n"/>
      <c r="H5" s="27" t="n"/>
      <c r="I5" s="28" t="n"/>
      <c r="J5" s="29" t="n"/>
      <c r="K5" s="30" t="n"/>
      <c r="L5" s="10">
        <f>(E5="✓")*1+(F5="✓")*3+(G5="✓")*1+(H5="✓")*1+(I5="✓")*2+(J5="✓")*2</f>
        <v/>
      </c>
      <c r="M5" s="31" t="n"/>
    </row>
    <row r="6">
      <c r="A6" s="32" t="n">
        <v>46333</v>
      </c>
      <c r="B6" s="9" t="inlineStr">
        <is>
          <t>Dia 2</t>
        </is>
      </c>
      <c r="C6" s="9" t="inlineStr">
        <is>
          <t>sáb</t>
        </is>
      </c>
      <c r="D6" s="9" t="n">
        <v>1</v>
      </c>
      <c r="E6" s="9" t="n"/>
      <c r="F6" s="26" t="n"/>
      <c r="G6" s="27" t="n"/>
      <c r="H6" s="27" t="n"/>
      <c r="I6" s="28" t="n"/>
      <c r="J6" s="29" t="n"/>
      <c r="K6" s="30" t="n"/>
      <c r="L6" s="10">
        <f>(E6="✓")*1+(F6="✓")*3+(G6="✓")*1+(H6="✓")*1+(I6="✓")*2+(J6="✓")*2</f>
        <v/>
      </c>
      <c r="M6" s="31" t="n"/>
    </row>
    <row r="7">
      <c r="A7" s="32" t="n">
        <v>46334</v>
      </c>
      <c r="B7" s="9" t="inlineStr">
        <is>
          <t>Dia 3</t>
        </is>
      </c>
      <c r="C7" s="9" t="inlineStr">
        <is>
          <t>dom</t>
        </is>
      </c>
      <c r="D7" s="9" t="n">
        <v>1</v>
      </c>
      <c r="E7" s="9" t="n"/>
      <c r="F7" s="26" t="n"/>
      <c r="G7" s="27" t="n"/>
      <c r="H7" s="27" t="n"/>
      <c r="I7" s="28" t="n"/>
      <c r="J7" s="29" t="n"/>
      <c r="K7" s="30" t="n"/>
      <c r="L7" s="10">
        <f>(E7="✓")*1+(F7="✓")*3+(G7="✓")*1+(H7="✓")*1+(I7="✓")*2+(J7="✓")*2</f>
        <v/>
      </c>
      <c r="M7" s="31" t="n"/>
    </row>
    <row r="8">
      <c r="A8" s="32" t="n">
        <v>46335</v>
      </c>
      <c r="B8" s="9" t="inlineStr">
        <is>
          <t>Dia 4</t>
        </is>
      </c>
      <c r="C8" s="9" t="inlineStr">
        <is>
          <t>seg</t>
        </is>
      </c>
      <c r="D8" s="9" t="n">
        <v>2</v>
      </c>
      <c r="E8" s="9" t="n"/>
      <c r="F8" s="26" t="n"/>
      <c r="G8" s="27" t="n"/>
      <c r="H8" s="27" t="n"/>
      <c r="I8" s="28" t="n"/>
      <c r="J8" s="29" t="n"/>
      <c r="K8" s="30" t="n"/>
      <c r="L8" s="10">
        <f>(E8="✓")*1+(F8="✓")*3+(G8="✓")*1+(H8="✓")*1+(I8="✓")*2+(J8="✓")*2</f>
        <v/>
      </c>
      <c r="M8" s="31" t="n"/>
    </row>
    <row r="9">
      <c r="A9" s="32" t="n">
        <v>46336</v>
      </c>
      <c r="B9" s="9" t="inlineStr">
        <is>
          <t>Dia 5</t>
        </is>
      </c>
      <c r="C9" s="9" t="inlineStr">
        <is>
          <t>ter</t>
        </is>
      </c>
      <c r="D9" s="9" t="n">
        <v>2</v>
      </c>
      <c r="E9" s="9" t="n"/>
      <c r="F9" s="26" t="n"/>
      <c r="G9" s="27" t="n"/>
      <c r="H9" s="27" t="n"/>
      <c r="I9" s="28" t="n"/>
      <c r="J9" s="29" t="n"/>
      <c r="K9" s="30" t="n"/>
      <c r="L9" s="10">
        <f>(E9="✓")*1+(F9="✓")*3+(G9="✓")*1+(H9="✓")*1+(I9="✓")*2+(J9="✓")*2</f>
        <v/>
      </c>
      <c r="M9" s="31" t="n"/>
    </row>
    <row r="10">
      <c r="A10" s="32" t="n">
        <v>46337</v>
      </c>
      <c r="B10" s="9" t="inlineStr">
        <is>
          <t>Dia 6</t>
        </is>
      </c>
      <c r="C10" s="9" t="inlineStr">
        <is>
          <t>qua</t>
        </is>
      </c>
      <c r="D10" s="9" t="n">
        <v>2</v>
      </c>
      <c r="E10" s="9" t="n"/>
      <c r="F10" s="26" t="n"/>
      <c r="G10" s="27" t="n"/>
      <c r="H10" s="27" t="n"/>
      <c r="I10" s="28" t="n"/>
      <c r="J10" s="29" t="n"/>
      <c r="K10" s="30" t="n"/>
      <c r="L10" s="10">
        <f>(E10="✓")*1+(F10="✓")*3+(G10="✓")*1+(H10="✓")*1+(I10="✓")*2+(J10="✓")*2</f>
        <v/>
      </c>
      <c r="M10" s="31" t="n"/>
    </row>
    <row r="11">
      <c r="A11" s="32" t="n">
        <v>46338</v>
      </c>
      <c r="B11" s="9" t="inlineStr">
        <is>
          <t>Dia 7</t>
        </is>
      </c>
      <c r="C11" s="9" t="inlineStr">
        <is>
          <t>qui</t>
        </is>
      </c>
      <c r="D11" s="9" t="n">
        <v>2</v>
      </c>
      <c r="E11" s="9" t="n"/>
      <c r="F11" s="26" t="n"/>
      <c r="G11" s="27" t="n"/>
      <c r="H11" s="27" t="n"/>
      <c r="I11" s="28" t="n"/>
      <c r="J11" s="29" t="n"/>
      <c r="K11" s="30" t="n"/>
      <c r="L11" s="10">
        <f>(E11="✓")*1+(F11="✓")*3+(G11="✓")*1+(H11="✓")*1+(I11="✓")*2+(J11="✓")*2</f>
        <v/>
      </c>
      <c r="M11" s="31" t="n"/>
    </row>
    <row r="12">
      <c r="A12" s="32" t="n">
        <v>46339</v>
      </c>
      <c r="B12" s="9" t="inlineStr">
        <is>
          <t>Dia 8</t>
        </is>
      </c>
      <c r="C12" s="9" t="inlineStr">
        <is>
          <t>sex</t>
        </is>
      </c>
      <c r="D12" s="9" t="n">
        <v>2</v>
      </c>
      <c r="E12" s="9" t="n"/>
      <c r="F12" s="26" t="n"/>
      <c r="G12" s="27" t="n"/>
      <c r="H12" s="27" t="n"/>
      <c r="I12" s="28" t="n"/>
      <c r="J12" s="29" t="n"/>
      <c r="K12" s="30" t="n"/>
      <c r="L12" s="10">
        <f>(E12="✓")*1+(F12="✓")*3+(G12="✓")*1+(H12="✓")*1+(I12="✓")*2+(J12="✓")*2</f>
        <v/>
      </c>
      <c r="M12" s="31" t="n"/>
    </row>
    <row r="13">
      <c r="A13" s="32" t="n">
        <v>46340</v>
      </c>
      <c r="B13" s="9" t="inlineStr">
        <is>
          <t>Dia 9</t>
        </is>
      </c>
      <c r="C13" s="9" t="inlineStr">
        <is>
          <t>sáb</t>
        </is>
      </c>
      <c r="D13" s="9" t="n">
        <v>2</v>
      </c>
      <c r="E13" s="9" t="n"/>
      <c r="F13" s="26" t="n"/>
      <c r="G13" s="27" t="n"/>
      <c r="H13" s="27" t="n"/>
      <c r="I13" s="28" t="n"/>
      <c r="J13" s="29" t="n"/>
      <c r="K13" s="30" t="n"/>
      <c r="L13" s="10">
        <f>(E13="✓")*1+(F13="✓")*3+(G13="✓")*1+(H13="✓")*1+(I13="✓")*2+(J13="✓")*2</f>
        <v/>
      </c>
      <c r="M13" s="31" t="n"/>
    </row>
    <row r="14">
      <c r="A14" s="32" t="n">
        <v>46341</v>
      </c>
      <c r="B14" s="9" t="inlineStr">
        <is>
          <t>Dia 10</t>
        </is>
      </c>
      <c r="C14" s="9" t="inlineStr">
        <is>
          <t>dom</t>
        </is>
      </c>
      <c r="D14" s="9" t="n">
        <v>2</v>
      </c>
      <c r="E14" s="9" t="n"/>
      <c r="F14" s="26" t="n"/>
      <c r="G14" s="27" t="n"/>
      <c r="H14" s="27" t="n"/>
      <c r="I14" s="28" t="n"/>
      <c r="J14" s="29" t="n"/>
      <c r="K14" s="30" t="n"/>
      <c r="L14" s="10">
        <f>(E14="✓")*1+(F14="✓")*3+(G14="✓")*1+(H14="✓")*1+(I14="✓")*2+(J14="✓")*2</f>
        <v/>
      </c>
      <c r="M14" s="31" t="n"/>
    </row>
    <row r="15">
      <c r="A15" s="32" t="n">
        <v>46342</v>
      </c>
      <c r="B15" s="9" t="inlineStr">
        <is>
          <t>Dia 11</t>
        </is>
      </c>
      <c r="C15" s="9" t="inlineStr">
        <is>
          <t>seg</t>
        </is>
      </c>
      <c r="D15" s="9" t="n">
        <v>3</v>
      </c>
      <c r="E15" s="9" t="n"/>
      <c r="F15" s="26" t="n"/>
      <c r="G15" s="27" t="n"/>
      <c r="H15" s="27" t="n"/>
      <c r="I15" s="28" t="n"/>
      <c r="J15" s="29" t="n"/>
      <c r="K15" s="30" t="n"/>
      <c r="L15" s="10">
        <f>(E15="✓")*1+(F15="✓")*3+(G15="✓")*1+(H15="✓")*1+(I15="✓")*2+(J15="✓")*2</f>
        <v/>
      </c>
      <c r="M15" s="31" t="n"/>
    </row>
    <row r="16">
      <c r="A16" s="32" t="n">
        <v>46343</v>
      </c>
      <c r="B16" s="9" t="inlineStr">
        <is>
          <t>Dia 12</t>
        </is>
      </c>
      <c r="C16" s="9" t="inlineStr">
        <is>
          <t>ter</t>
        </is>
      </c>
      <c r="D16" s="9" t="n">
        <v>3</v>
      </c>
      <c r="E16" s="9" t="n"/>
      <c r="F16" s="26" t="n"/>
      <c r="G16" s="27" t="n"/>
      <c r="H16" s="27" t="n"/>
      <c r="I16" s="28" t="n"/>
      <c r="J16" s="29" t="n"/>
      <c r="K16" s="30" t="n"/>
      <c r="L16" s="10">
        <f>(E16="✓")*1+(F16="✓")*3+(G16="✓")*1+(H16="✓")*1+(I16="✓")*2+(J16="✓")*2</f>
        <v/>
      </c>
      <c r="M16" s="31" t="n"/>
    </row>
    <row r="17">
      <c r="A17" s="32" t="n">
        <v>46344</v>
      </c>
      <c r="B17" s="9" t="inlineStr">
        <is>
          <t>Dia 13</t>
        </is>
      </c>
      <c r="C17" s="9" t="inlineStr">
        <is>
          <t>qua</t>
        </is>
      </c>
      <c r="D17" s="9" t="n">
        <v>3</v>
      </c>
      <c r="E17" s="9" t="n"/>
      <c r="F17" s="26" t="n"/>
      <c r="G17" s="27" t="n"/>
      <c r="H17" s="27" t="n"/>
      <c r="I17" s="28" t="n"/>
      <c r="J17" s="29" t="n"/>
      <c r="K17" s="30" t="n"/>
      <c r="L17" s="10">
        <f>(E17="✓")*1+(F17="✓")*3+(G17="✓")*1+(H17="✓")*1+(I17="✓")*2+(J17="✓")*2</f>
        <v/>
      </c>
      <c r="M17" s="31" t="n"/>
    </row>
    <row r="18">
      <c r="A18" s="32" t="n">
        <v>46345</v>
      </c>
      <c r="B18" s="9" t="inlineStr">
        <is>
          <t>Dia 14</t>
        </is>
      </c>
      <c r="C18" s="9" t="inlineStr">
        <is>
          <t>qui</t>
        </is>
      </c>
      <c r="D18" s="9" t="n">
        <v>3</v>
      </c>
      <c r="E18" s="9" t="n"/>
      <c r="F18" s="26" t="n"/>
      <c r="G18" s="27" t="n"/>
      <c r="H18" s="27" t="n"/>
      <c r="I18" s="28" t="n"/>
      <c r="J18" s="29" t="n"/>
      <c r="K18" s="30" t="n"/>
      <c r="L18" s="10">
        <f>(E18="✓")*1+(F18="✓")*3+(G18="✓")*1+(H18="✓")*1+(I18="✓")*2+(J18="✓")*2</f>
        <v/>
      </c>
      <c r="M18" s="31" t="n"/>
    </row>
    <row r="19">
      <c r="A19" s="24" t="n">
        <v>46346</v>
      </c>
      <c r="B19" s="25" t="inlineStr">
        <is>
          <t>Dia 15</t>
        </is>
      </c>
      <c r="C19" s="25" t="inlineStr">
        <is>
          <t>sex</t>
        </is>
      </c>
      <c r="D19" s="25" t="n">
        <v>3</v>
      </c>
      <c r="E19" s="9" t="n"/>
      <c r="F19" s="26" t="n"/>
      <c r="G19" s="27" t="n"/>
      <c r="H19" s="27" t="n"/>
      <c r="I19" s="28" t="n"/>
      <c r="J19" s="29" t="n"/>
      <c r="K19" s="30" t="n"/>
      <c r="L19" s="10">
        <f>(E19="✓")*1+(F19="✓")*3+(G19="✓")*1+(H19="✓")*1+(I19="✓")*2+(J19="✓")*2</f>
        <v/>
      </c>
      <c r="M19" s="31" t="n"/>
    </row>
    <row r="20">
      <c r="A20" s="32" t="n">
        <v>46347</v>
      </c>
      <c r="B20" s="9" t="inlineStr">
        <is>
          <t>Dia 16</t>
        </is>
      </c>
      <c r="C20" s="9" t="inlineStr">
        <is>
          <t>sáb</t>
        </is>
      </c>
      <c r="D20" s="9" t="n">
        <v>3</v>
      </c>
      <c r="E20" s="9" t="n"/>
      <c r="F20" s="26" t="n"/>
      <c r="G20" s="27" t="n"/>
      <c r="H20" s="27" t="n"/>
      <c r="I20" s="28" t="n"/>
      <c r="J20" s="29" t="n"/>
      <c r="K20" s="30" t="n"/>
      <c r="L20" s="10">
        <f>(E20="✓")*1+(F20="✓")*3+(G20="✓")*1+(H20="✓")*1+(I20="✓")*2+(J20="✓")*2</f>
        <v/>
      </c>
      <c r="M20" s="31" t="n"/>
    </row>
    <row r="21">
      <c r="A21" s="32" t="n">
        <v>46348</v>
      </c>
      <c r="B21" s="9" t="inlineStr">
        <is>
          <t>Dia 17</t>
        </is>
      </c>
      <c r="C21" s="9" t="inlineStr">
        <is>
          <t>dom</t>
        </is>
      </c>
      <c r="D21" s="9" t="n">
        <v>3</v>
      </c>
      <c r="E21" s="9" t="n"/>
      <c r="F21" s="26" t="n"/>
      <c r="G21" s="27" t="n"/>
      <c r="H21" s="27" t="n"/>
      <c r="I21" s="28" t="n"/>
      <c r="J21" s="29" t="n"/>
      <c r="K21" s="30" t="n"/>
      <c r="L21" s="10">
        <f>(E21="✓")*1+(F21="✓")*3+(G21="✓")*1+(H21="✓")*1+(I21="✓")*2+(J21="✓")*2</f>
        <v/>
      </c>
      <c r="M21" s="31" t="n"/>
    </row>
    <row r="22">
      <c r="A22" s="32" t="n">
        <v>46349</v>
      </c>
      <c r="B22" s="9" t="inlineStr">
        <is>
          <t>Dia 18</t>
        </is>
      </c>
      <c r="C22" s="9" t="inlineStr">
        <is>
          <t>seg</t>
        </is>
      </c>
      <c r="D22" s="9" t="n">
        <v>4</v>
      </c>
      <c r="E22" s="9" t="n"/>
      <c r="F22" s="26" t="n"/>
      <c r="G22" s="27" t="n"/>
      <c r="H22" s="27" t="n"/>
      <c r="I22" s="28" t="n"/>
      <c r="J22" s="29" t="n"/>
      <c r="K22" s="30" t="n"/>
      <c r="L22" s="10">
        <f>(E22="✓")*1+(F22="✓")*3+(G22="✓")*1+(H22="✓")*1+(I22="✓")*2+(J22="✓")*2</f>
        <v/>
      </c>
      <c r="M22" s="31" t="n"/>
    </row>
    <row r="23">
      <c r="A23" s="32" t="n">
        <v>46350</v>
      </c>
      <c r="B23" s="9" t="inlineStr">
        <is>
          <t>Dia 19</t>
        </is>
      </c>
      <c r="C23" s="9" t="inlineStr">
        <is>
          <t>ter</t>
        </is>
      </c>
      <c r="D23" s="9" t="n">
        <v>4</v>
      </c>
      <c r="E23" s="9" t="n"/>
      <c r="F23" s="26" t="n"/>
      <c r="G23" s="27" t="n"/>
      <c r="H23" s="27" t="n"/>
      <c r="I23" s="28" t="n"/>
      <c r="J23" s="29" t="n"/>
      <c r="K23" s="30" t="n"/>
      <c r="L23" s="10">
        <f>(E23="✓")*1+(F23="✓")*3+(G23="✓")*1+(H23="✓")*1+(I23="✓")*2+(J23="✓")*2</f>
        <v/>
      </c>
      <c r="M23" s="31" t="n"/>
    </row>
    <row r="24">
      <c r="A24" s="32" t="n">
        <v>46351</v>
      </c>
      <c r="B24" s="9" t="inlineStr">
        <is>
          <t>Dia 20</t>
        </is>
      </c>
      <c r="C24" s="9" t="inlineStr">
        <is>
          <t>qua</t>
        </is>
      </c>
      <c r="D24" s="9" t="n">
        <v>4</v>
      </c>
      <c r="E24" s="9" t="n"/>
      <c r="F24" s="26" t="n"/>
      <c r="G24" s="27" t="n"/>
      <c r="H24" s="27" t="n"/>
      <c r="I24" s="28" t="n"/>
      <c r="J24" s="29" t="n"/>
      <c r="K24" s="30" t="n"/>
      <c r="L24" s="10">
        <f>(E24="✓")*1+(F24="✓")*3+(G24="✓")*1+(H24="✓")*1+(I24="✓")*2+(J24="✓")*2</f>
        <v/>
      </c>
      <c r="M24" s="31" t="n"/>
    </row>
    <row r="25">
      <c r="A25" s="32" t="n">
        <v>46352</v>
      </c>
      <c r="B25" s="9" t="inlineStr">
        <is>
          <t>Dia 21</t>
        </is>
      </c>
      <c r="C25" s="9" t="inlineStr">
        <is>
          <t>qui</t>
        </is>
      </c>
      <c r="D25" s="9" t="n">
        <v>4</v>
      </c>
      <c r="E25" s="9" t="n"/>
      <c r="F25" s="26" t="n"/>
      <c r="G25" s="27" t="n"/>
      <c r="H25" s="27" t="n"/>
      <c r="I25" s="28" t="n"/>
      <c r="J25" s="29" t="n"/>
      <c r="K25" s="30" t="n"/>
      <c r="L25" s="10">
        <f>(E25="✓")*1+(F25="✓")*3+(G25="✓")*1+(H25="✓")*1+(I25="✓")*2+(J25="✓")*2</f>
        <v/>
      </c>
      <c r="M25" s="31" t="n"/>
    </row>
    <row r="26">
      <c r="A26" s="32" t="n">
        <v>46353</v>
      </c>
      <c r="B26" s="9" t="inlineStr">
        <is>
          <t>Dia 22</t>
        </is>
      </c>
      <c r="C26" s="9" t="inlineStr">
        <is>
          <t>sex</t>
        </is>
      </c>
      <c r="D26" s="9" t="n">
        <v>4</v>
      </c>
      <c r="E26" s="9" t="n"/>
      <c r="F26" s="26" t="n"/>
      <c r="G26" s="27" t="n"/>
      <c r="H26" s="27" t="n"/>
      <c r="I26" s="28" t="n"/>
      <c r="J26" s="29" t="n"/>
      <c r="K26" s="30" t="n"/>
      <c r="L26" s="10">
        <f>(E26="✓")*1+(F26="✓")*3+(G26="✓")*1+(H26="✓")*1+(I26="✓")*2+(J26="✓")*2</f>
        <v/>
      </c>
      <c r="M26" s="31" t="n"/>
    </row>
    <row r="27">
      <c r="A27" s="32" t="n">
        <v>46354</v>
      </c>
      <c r="B27" s="9" t="inlineStr">
        <is>
          <t>Dia 23</t>
        </is>
      </c>
      <c r="C27" s="9" t="inlineStr">
        <is>
          <t>sáb</t>
        </is>
      </c>
      <c r="D27" s="9" t="n">
        <v>4</v>
      </c>
      <c r="E27" s="9" t="n"/>
      <c r="F27" s="26" t="n"/>
      <c r="G27" s="27" t="n"/>
      <c r="H27" s="27" t="n"/>
      <c r="I27" s="28" t="n"/>
      <c r="J27" s="29" t="n"/>
      <c r="K27" s="30" t="n"/>
      <c r="L27" s="10">
        <f>(E27="✓")*1+(F27="✓")*3+(G27="✓")*1+(H27="✓")*1+(I27="✓")*2+(J27="✓")*2</f>
        <v/>
      </c>
      <c r="M27" s="31" t="n"/>
    </row>
    <row r="28">
      <c r="A28" s="32" t="n">
        <v>46355</v>
      </c>
      <c r="B28" s="9" t="inlineStr">
        <is>
          <t>Dia 24</t>
        </is>
      </c>
      <c r="C28" s="9" t="inlineStr">
        <is>
          <t>dom</t>
        </is>
      </c>
      <c r="D28" s="9" t="n">
        <v>4</v>
      </c>
      <c r="E28" s="9" t="n"/>
      <c r="F28" s="26" t="n"/>
      <c r="G28" s="27" t="n"/>
      <c r="H28" s="27" t="n"/>
      <c r="I28" s="28" t="n"/>
      <c r="J28" s="29" t="n"/>
      <c r="K28" s="30" t="n"/>
      <c r="L28" s="10">
        <f>(E28="✓")*1+(F28="✓")*3+(G28="✓")*1+(H28="✓")*1+(I28="✓")*2+(J28="✓")*2</f>
        <v/>
      </c>
      <c r="M28" s="31" t="n"/>
    </row>
    <row r="29">
      <c r="A29" s="32" t="n">
        <v>46356</v>
      </c>
      <c r="B29" s="9" t="inlineStr">
        <is>
          <t>Dia 25</t>
        </is>
      </c>
      <c r="C29" s="9" t="inlineStr">
        <is>
          <t>seg</t>
        </is>
      </c>
      <c r="D29" s="9" t="n">
        <v>5</v>
      </c>
      <c r="E29" s="9" t="n"/>
      <c r="F29" s="26" t="n"/>
      <c r="G29" s="27" t="n"/>
      <c r="H29" s="27" t="n"/>
      <c r="I29" s="28" t="n"/>
      <c r="J29" s="29" t="n"/>
      <c r="K29" s="30" t="n"/>
      <c r="L29" s="10">
        <f>(E29="✓")*1+(F29="✓")*3+(G29="✓")*1+(H29="✓")*1+(I29="✓")*2+(J29="✓")*2</f>
        <v/>
      </c>
      <c r="M29" s="31" t="n"/>
    </row>
    <row r="30">
      <c r="A30" s="32" t="n">
        <v>46357</v>
      </c>
      <c r="B30" s="9" t="inlineStr">
        <is>
          <t>Dia 26</t>
        </is>
      </c>
      <c r="C30" s="9" t="inlineStr">
        <is>
          <t>ter</t>
        </is>
      </c>
      <c r="D30" s="9" t="n">
        <v>5</v>
      </c>
      <c r="E30" s="9" t="n"/>
      <c r="F30" s="26" t="n"/>
      <c r="G30" s="27" t="n"/>
      <c r="H30" s="27" t="n"/>
      <c r="I30" s="28" t="n"/>
      <c r="J30" s="29" t="n"/>
      <c r="K30" s="30" t="n"/>
      <c r="L30" s="10">
        <f>(E30="✓")*1+(F30="✓")*3+(G30="✓")*1+(H30="✓")*1+(I30="✓")*2+(J30="✓")*2</f>
        <v/>
      </c>
      <c r="M30" s="31" t="n"/>
    </row>
    <row r="31">
      <c r="A31" s="32" t="n">
        <v>46358</v>
      </c>
      <c r="B31" s="9" t="inlineStr">
        <is>
          <t>Dia 27</t>
        </is>
      </c>
      <c r="C31" s="9" t="inlineStr">
        <is>
          <t>qua</t>
        </is>
      </c>
      <c r="D31" s="9" t="n">
        <v>5</v>
      </c>
      <c r="E31" s="9" t="n"/>
      <c r="F31" s="26" t="n"/>
      <c r="G31" s="27" t="n"/>
      <c r="H31" s="27" t="n"/>
      <c r="I31" s="28" t="n"/>
      <c r="J31" s="29" t="n"/>
      <c r="K31" s="30" t="n"/>
      <c r="L31" s="10">
        <f>(E31="✓")*1+(F31="✓")*3+(G31="✓")*1+(H31="✓")*1+(I31="✓")*2+(J31="✓")*2</f>
        <v/>
      </c>
      <c r="M31" s="31" t="n"/>
    </row>
    <row r="32">
      <c r="A32" s="32" t="n">
        <v>46359</v>
      </c>
      <c r="B32" s="9" t="inlineStr">
        <is>
          <t>Dia 28</t>
        </is>
      </c>
      <c r="C32" s="9" t="inlineStr">
        <is>
          <t>qui</t>
        </is>
      </c>
      <c r="D32" s="9" t="n">
        <v>5</v>
      </c>
      <c r="E32" s="9" t="n"/>
      <c r="F32" s="26" t="n"/>
      <c r="G32" s="27" t="n"/>
      <c r="H32" s="27" t="n"/>
      <c r="I32" s="28" t="n"/>
      <c r="J32" s="29" t="n"/>
      <c r="K32" s="30" t="n"/>
      <c r="L32" s="10">
        <f>(E32="✓")*1+(F32="✓")*3+(G32="✓")*1+(H32="✓")*1+(I32="✓")*2+(J32="✓")*2</f>
        <v/>
      </c>
      <c r="M32" s="31" t="n"/>
    </row>
    <row r="33">
      <c r="A33" s="32" t="n">
        <v>46360</v>
      </c>
      <c r="B33" s="9" t="inlineStr">
        <is>
          <t>Dia 29</t>
        </is>
      </c>
      <c r="C33" s="9" t="inlineStr">
        <is>
          <t>sex</t>
        </is>
      </c>
      <c r="D33" s="9" t="n">
        <v>5</v>
      </c>
      <c r="E33" s="9" t="n"/>
      <c r="F33" s="26" t="n"/>
      <c r="G33" s="27" t="n"/>
      <c r="H33" s="27" t="n"/>
      <c r="I33" s="28" t="n"/>
      <c r="J33" s="29" t="n"/>
      <c r="K33" s="30" t="n"/>
      <c r="L33" s="10">
        <f>(E33="✓")*1+(F33="✓")*3+(G33="✓")*1+(H33="✓")*1+(I33="✓")*2+(J33="✓")*2</f>
        <v/>
      </c>
      <c r="M33" s="31" t="n"/>
    </row>
    <row r="34">
      <c r="A34" s="24" t="n">
        <v>46361</v>
      </c>
      <c r="B34" s="25" t="inlineStr">
        <is>
          <t>Dia 30</t>
        </is>
      </c>
      <c r="C34" s="25" t="inlineStr">
        <is>
          <t>sáb</t>
        </is>
      </c>
      <c r="D34" s="25" t="n">
        <v>5</v>
      </c>
      <c r="E34" s="9" t="n"/>
      <c r="F34" s="26" t="n"/>
      <c r="G34" s="27" t="n"/>
      <c r="H34" s="27" t="n"/>
      <c r="I34" s="28" t="n"/>
      <c r="J34" s="29" t="n"/>
      <c r="K34" s="30" t="n"/>
      <c r="L34" s="10">
        <f>(E34="✓")*1+(F34="✓")*3+(G34="✓")*1+(H34="✓")*1+(I34="✓")*2+(J34="✓")*2</f>
        <v/>
      </c>
      <c r="M34" s="31" t="n"/>
    </row>
    <row r="35">
      <c r="A35" s="32" t="n">
        <v>46362</v>
      </c>
      <c r="B35" s="9" t="inlineStr">
        <is>
          <t>Dia 31</t>
        </is>
      </c>
      <c r="C35" s="9" t="inlineStr">
        <is>
          <t>dom</t>
        </is>
      </c>
      <c r="D35" s="9" t="n">
        <v>5</v>
      </c>
      <c r="E35" s="9" t="n"/>
      <c r="F35" s="26" t="n"/>
      <c r="G35" s="27" t="n"/>
      <c r="H35" s="27" t="n"/>
      <c r="I35" s="28" t="n"/>
      <c r="J35" s="29" t="n"/>
      <c r="K35" s="30" t="n"/>
      <c r="L35" s="10">
        <f>(E35="✓")*1+(F35="✓")*3+(G35="✓")*1+(H35="✓")*1+(I35="✓")*2+(J35="✓")*2</f>
        <v/>
      </c>
      <c r="M35" s="31" t="n"/>
    </row>
    <row r="36">
      <c r="A36" s="32" t="n">
        <v>46363</v>
      </c>
      <c r="B36" s="9" t="inlineStr">
        <is>
          <t>Dia 32</t>
        </is>
      </c>
      <c r="C36" s="9" t="inlineStr">
        <is>
          <t>seg</t>
        </is>
      </c>
      <c r="D36" s="9" t="n">
        <v>6</v>
      </c>
      <c r="E36" s="9" t="n"/>
      <c r="F36" s="26" t="n"/>
      <c r="G36" s="27" t="n"/>
      <c r="H36" s="27" t="n"/>
      <c r="I36" s="28" t="n"/>
      <c r="J36" s="29" t="n"/>
      <c r="K36" s="30" t="n"/>
      <c r="L36" s="10">
        <f>(E36="✓")*1+(F36="✓")*3+(G36="✓")*1+(H36="✓")*1+(I36="✓")*2+(J36="✓")*2</f>
        <v/>
      </c>
      <c r="M36" s="31" t="n"/>
    </row>
    <row r="37">
      <c r="A37" s="32" t="n">
        <v>46364</v>
      </c>
      <c r="B37" s="9" t="inlineStr">
        <is>
          <t>Dia 33</t>
        </is>
      </c>
      <c r="C37" s="9" t="inlineStr">
        <is>
          <t>ter</t>
        </is>
      </c>
      <c r="D37" s="9" t="n">
        <v>6</v>
      </c>
      <c r="E37" s="9" t="n"/>
      <c r="F37" s="26" t="n"/>
      <c r="G37" s="27" t="n"/>
      <c r="H37" s="27" t="n"/>
      <c r="I37" s="28" t="n"/>
      <c r="J37" s="29" t="n"/>
      <c r="K37" s="30" t="n"/>
      <c r="L37" s="10">
        <f>(E37="✓")*1+(F37="✓")*3+(G37="✓")*1+(H37="✓")*1+(I37="✓")*2+(J37="✓")*2</f>
        <v/>
      </c>
      <c r="M37" s="31" t="n"/>
    </row>
    <row r="38">
      <c r="A38" s="32" t="n">
        <v>46365</v>
      </c>
      <c r="B38" s="9" t="inlineStr">
        <is>
          <t>Dia 34</t>
        </is>
      </c>
      <c r="C38" s="9" t="inlineStr">
        <is>
          <t>qua</t>
        </is>
      </c>
      <c r="D38" s="9" t="n">
        <v>6</v>
      </c>
      <c r="E38" s="9" t="n"/>
      <c r="F38" s="26" t="n"/>
      <c r="G38" s="27" t="n"/>
      <c r="H38" s="27" t="n"/>
      <c r="I38" s="28" t="n"/>
      <c r="J38" s="29" t="n"/>
      <c r="K38" s="30" t="n"/>
      <c r="L38" s="10">
        <f>(E38="✓")*1+(F38="✓")*3+(G38="✓")*1+(H38="✓")*1+(I38="✓")*2+(J38="✓")*2</f>
        <v/>
      </c>
      <c r="M38" s="31" t="n"/>
    </row>
    <row r="39">
      <c r="A39" s="32" t="n">
        <v>46366</v>
      </c>
      <c r="B39" s="9" t="inlineStr">
        <is>
          <t>Dia 35</t>
        </is>
      </c>
      <c r="C39" s="9" t="inlineStr">
        <is>
          <t>qui</t>
        </is>
      </c>
      <c r="D39" s="9" t="n">
        <v>6</v>
      </c>
      <c r="E39" s="9" t="n"/>
      <c r="F39" s="26" t="n"/>
      <c r="G39" s="27" t="n"/>
      <c r="H39" s="27" t="n"/>
      <c r="I39" s="28" t="n"/>
      <c r="J39" s="29" t="n"/>
      <c r="K39" s="30" t="n"/>
      <c r="L39" s="10">
        <f>(E39="✓")*1+(F39="✓")*3+(G39="✓")*1+(H39="✓")*1+(I39="✓")*2+(J39="✓")*2</f>
        <v/>
      </c>
      <c r="M39" s="31" t="n"/>
    </row>
    <row r="40">
      <c r="A40" s="32" t="n">
        <v>46367</v>
      </c>
      <c r="B40" s="9" t="inlineStr">
        <is>
          <t>Dia 36</t>
        </is>
      </c>
      <c r="C40" s="9" t="inlineStr">
        <is>
          <t>sex</t>
        </is>
      </c>
      <c r="D40" s="9" t="n">
        <v>6</v>
      </c>
      <c r="E40" s="9" t="n"/>
      <c r="F40" s="26" t="n"/>
      <c r="G40" s="27" t="n"/>
      <c r="H40" s="27" t="n"/>
      <c r="I40" s="28" t="n"/>
      <c r="J40" s="29" t="n"/>
      <c r="K40" s="30" t="n"/>
      <c r="L40" s="10">
        <f>(E40="✓")*1+(F40="✓")*3+(G40="✓")*1+(H40="✓")*1+(I40="✓")*2+(J40="✓")*2</f>
        <v/>
      </c>
      <c r="M40" s="31" t="n"/>
    </row>
    <row r="41">
      <c r="A41" s="32" t="n">
        <v>46368</v>
      </c>
      <c r="B41" s="9" t="inlineStr">
        <is>
          <t>Dia 37</t>
        </is>
      </c>
      <c r="C41" s="9" t="inlineStr">
        <is>
          <t>sáb</t>
        </is>
      </c>
      <c r="D41" s="9" t="n">
        <v>6</v>
      </c>
      <c r="E41" s="9" t="n"/>
      <c r="F41" s="26" t="n"/>
      <c r="G41" s="27" t="n"/>
      <c r="H41" s="27" t="n"/>
      <c r="I41" s="28" t="n"/>
      <c r="J41" s="29" t="n"/>
      <c r="K41" s="30" t="n"/>
      <c r="L41" s="10">
        <f>(E41="✓")*1+(F41="✓")*3+(G41="✓")*1+(H41="✓")*1+(I41="✓")*2+(J41="✓")*2</f>
        <v/>
      </c>
      <c r="M41" s="31" t="n"/>
    </row>
    <row r="42">
      <c r="A42" s="32" t="n">
        <v>46369</v>
      </c>
      <c r="B42" s="9" t="inlineStr">
        <is>
          <t>Dia 38</t>
        </is>
      </c>
      <c r="C42" s="9" t="inlineStr">
        <is>
          <t>dom</t>
        </is>
      </c>
      <c r="D42" s="9" t="n">
        <v>6</v>
      </c>
      <c r="E42" s="9" t="n"/>
      <c r="F42" s="26" t="n"/>
      <c r="G42" s="27" t="n"/>
      <c r="H42" s="27" t="n"/>
      <c r="I42" s="28" t="n"/>
      <c r="J42" s="29" t="n"/>
      <c r="K42" s="30" t="n"/>
      <c r="L42" s="10">
        <f>(E42="✓")*1+(F42="✓")*3+(G42="✓")*1+(H42="✓")*1+(I42="✓")*2+(J42="✓")*2</f>
        <v/>
      </c>
      <c r="M42" s="31" t="n"/>
    </row>
    <row r="43">
      <c r="A43" s="32" t="n">
        <v>46370</v>
      </c>
      <c r="B43" s="9" t="inlineStr">
        <is>
          <t>Dia 39</t>
        </is>
      </c>
      <c r="C43" s="9" t="inlineStr">
        <is>
          <t>seg</t>
        </is>
      </c>
      <c r="D43" s="9" t="n">
        <v>7</v>
      </c>
      <c r="E43" s="9" t="n"/>
      <c r="F43" s="26" t="n"/>
      <c r="G43" s="27" t="n"/>
      <c r="H43" s="27" t="n"/>
      <c r="I43" s="28" t="n"/>
      <c r="J43" s="29" t="n"/>
      <c r="K43" s="30" t="n"/>
      <c r="L43" s="10">
        <f>(E43="✓")*1+(F43="✓")*3+(G43="✓")*1+(H43="✓")*1+(I43="✓")*2+(J43="✓")*2</f>
        <v/>
      </c>
      <c r="M43" s="31" t="n"/>
    </row>
    <row r="44">
      <c r="A44" s="32" t="n">
        <v>46371</v>
      </c>
      <c r="B44" s="9" t="inlineStr">
        <is>
          <t>Dia 40</t>
        </is>
      </c>
      <c r="C44" s="9" t="inlineStr">
        <is>
          <t>ter</t>
        </is>
      </c>
      <c r="D44" s="9" t="n">
        <v>7</v>
      </c>
      <c r="E44" s="9" t="n"/>
      <c r="F44" s="26" t="n"/>
      <c r="G44" s="27" t="n"/>
      <c r="H44" s="27" t="n"/>
      <c r="I44" s="28" t="n"/>
      <c r="J44" s="29" t="n"/>
      <c r="K44" s="30" t="n"/>
      <c r="L44" s="10">
        <f>(E44="✓")*1+(F44="✓")*3+(G44="✓")*1+(H44="✓")*1+(I44="✓")*2+(J44="✓")*2</f>
        <v/>
      </c>
      <c r="M44" s="31" t="n"/>
    </row>
    <row r="45">
      <c r="A45" s="32" t="n">
        <v>46372</v>
      </c>
      <c r="B45" s="9" t="inlineStr">
        <is>
          <t>Dia 41</t>
        </is>
      </c>
      <c r="C45" s="9" t="inlineStr">
        <is>
          <t>qua</t>
        </is>
      </c>
      <c r="D45" s="9" t="n">
        <v>7</v>
      </c>
      <c r="E45" s="9" t="n"/>
      <c r="F45" s="26" t="n"/>
      <c r="G45" s="27" t="n"/>
      <c r="H45" s="27" t="n"/>
      <c r="I45" s="28" t="n"/>
      <c r="J45" s="29" t="n"/>
      <c r="K45" s="30" t="n"/>
      <c r="L45" s="10">
        <f>(E45="✓")*1+(F45="✓")*3+(G45="✓")*1+(H45="✓")*1+(I45="✓")*2+(J45="✓")*2</f>
        <v/>
      </c>
      <c r="M45" s="31" t="n"/>
    </row>
    <row r="46">
      <c r="A46" s="32" t="n">
        <v>46373</v>
      </c>
      <c r="B46" s="9" t="inlineStr">
        <is>
          <t>Dia 42</t>
        </is>
      </c>
      <c r="C46" s="9" t="inlineStr">
        <is>
          <t>qui</t>
        </is>
      </c>
      <c r="D46" s="9" t="n">
        <v>7</v>
      </c>
      <c r="E46" s="9" t="n"/>
      <c r="F46" s="26" t="n"/>
      <c r="G46" s="27" t="n"/>
      <c r="H46" s="27" t="n"/>
      <c r="I46" s="28" t="n"/>
      <c r="J46" s="29" t="n"/>
      <c r="K46" s="30" t="n"/>
      <c r="L46" s="10">
        <f>(E46="✓")*1+(F46="✓")*3+(G46="✓")*1+(H46="✓")*1+(I46="✓")*2+(J46="✓")*2</f>
        <v/>
      </c>
      <c r="M46" s="31" t="n"/>
    </row>
    <row r="47">
      <c r="A47" s="32" t="n">
        <v>46374</v>
      </c>
      <c r="B47" s="9" t="inlineStr">
        <is>
          <t>Dia 43</t>
        </is>
      </c>
      <c r="C47" s="9" t="inlineStr">
        <is>
          <t>sex</t>
        </is>
      </c>
      <c r="D47" s="9" t="n">
        <v>7</v>
      </c>
      <c r="E47" s="9" t="n"/>
      <c r="F47" s="26" t="n"/>
      <c r="G47" s="27" t="n"/>
      <c r="H47" s="27" t="n"/>
      <c r="I47" s="28" t="n"/>
      <c r="J47" s="29" t="n"/>
      <c r="K47" s="30" t="n"/>
      <c r="L47" s="10">
        <f>(E47="✓")*1+(F47="✓")*3+(G47="✓")*1+(H47="✓")*1+(I47="✓")*2+(J47="✓")*2</f>
        <v/>
      </c>
      <c r="M47" s="31" t="n"/>
    </row>
    <row r="48">
      <c r="A48" s="32" t="n">
        <v>46375</v>
      </c>
      <c r="B48" s="9" t="inlineStr">
        <is>
          <t>Dia 44</t>
        </is>
      </c>
      <c r="C48" s="9" t="inlineStr">
        <is>
          <t>sáb</t>
        </is>
      </c>
      <c r="D48" s="9" t="n">
        <v>7</v>
      </c>
      <c r="E48" s="9" t="n"/>
      <c r="F48" s="26" t="n"/>
      <c r="G48" s="27" t="n"/>
      <c r="H48" s="27" t="n"/>
      <c r="I48" s="28" t="n"/>
      <c r="J48" s="29" t="n"/>
      <c r="K48" s="30" t="n"/>
      <c r="L48" s="10">
        <f>(E48="✓")*1+(F48="✓")*3+(G48="✓")*1+(H48="✓")*1+(I48="✓")*2+(J48="✓")*2</f>
        <v/>
      </c>
      <c r="M48" s="31" t="n"/>
    </row>
    <row r="49">
      <c r="A49" s="24" t="n">
        <v>46376</v>
      </c>
      <c r="B49" s="25" t="inlineStr">
        <is>
          <t>Dia 45</t>
        </is>
      </c>
      <c r="C49" s="25" t="inlineStr">
        <is>
          <t>dom</t>
        </is>
      </c>
      <c r="D49" s="25" t="n">
        <v>7</v>
      </c>
      <c r="E49" s="9" t="n"/>
      <c r="F49" s="26" t="n"/>
      <c r="G49" s="27" t="n"/>
      <c r="H49" s="27" t="n"/>
      <c r="I49" s="28" t="n"/>
      <c r="J49" s="29" t="n"/>
      <c r="K49" s="30" t="n"/>
      <c r="L49" s="10">
        <f>(E49="✓")*1+(F49="✓")*3+(G49="✓")*1+(H49="✓")*1+(I49="✓")*2+(J49="✓")*2</f>
        <v/>
      </c>
      <c r="M49" s="31" t="n"/>
    </row>
    <row r="50">
      <c r="A50" s="8" t="inlineStr">
        <is>
          <t>TOTAL</t>
        </is>
      </c>
      <c r="B50" s="33" t="n"/>
      <c r="C50" s="33" t="n"/>
      <c r="D50" s="33" t="n"/>
      <c r="E50" s="34">
        <f>COUNTIF(E5:E49,"✓")</f>
        <v/>
      </c>
      <c r="F50" s="34">
        <f>COUNTIF(F5:F49,"✓")</f>
        <v/>
      </c>
      <c r="G50" s="34">
        <f>COUNTIF(G5:G49,"✓")</f>
        <v/>
      </c>
      <c r="H50" s="34">
        <f>COUNTIF(H5:H49,"✓")</f>
        <v/>
      </c>
      <c r="I50" s="34">
        <f>COUNTIF(I5:I49,"✓")</f>
        <v/>
      </c>
      <c r="J50" s="34">
        <f>COUNTIF(J5:J49,"✓")</f>
        <v/>
      </c>
      <c r="K50" s="34">
        <f>SUM(K5:K49)</f>
        <v/>
      </c>
      <c r="L50" s="34">
        <f>SUM(L5:L49)</f>
        <v/>
      </c>
      <c r="M50" s="33" t="n"/>
    </row>
    <row r="51">
      <c r="A51" s="12" t="inlineStr">
        <is>
          <t>Dias 1, 15, 30 e 45 (em verde) são dias de teste de Corpo forte e de foto de progresso.</t>
        </is>
      </c>
    </row>
  </sheetData>
  <mergeCells count="2">
    <mergeCell ref="A2:M2"/>
    <mergeCell ref="A1:M1"/>
  </mergeCells>
  <conditionalFormatting sqref="E5:J49">
    <cfRule type="cellIs" priority="1" operator="equal" dxfId="0">
      <formula>"✓"</formula>
    </cfRule>
    <cfRule type="cellIs" priority="2" operator="equal" dxfId="1">
      <formula>"✗"</formula>
    </cfRule>
  </conditionalFormatting>
  <conditionalFormatting sqref="L5:L49">
    <cfRule type="cellIs" priority="3" operator="equal" dxfId="2">
      <formula>10</formula>
    </cfRule>
  </conditionalFormatting>
  <dataValidations count="2">
    <dataValidation sqref="E5:J49" showDropDown="0" showInputMessage="0" showErrorMessage="0" allowBlank="1" type="list">
      <formula1>"✓,✗"</formula1>
    </dataValidation>
    <dataValidation sqref="K5:K49" showDropDown="0" showInputMessage="0" showErrorMessage="0" allowBlank="1" type="whole" operator="between">
      <formula1>0</formula1>
      <formula2>10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46" customWidth="1" min="3" max="3"/>
    <col width="9" customWidth="1" min="4" max="4"/>
    <col width="32" customWidth="1" min="5" max="5"/>
    <col width="46" customWidth="1" min="8" max="8"/>
    <col width="9" customWidth="1" min="9" max="9"/>
  </cols>
  <sheetData>
    <row r="1" ht="30" customHeight="1">
      <c r="A1" s="1" t="inlineStr">
        <is>
          <t>CONQUISTAS</t>
        </is>
      </c>
      <c r="B1" s="2" t="n"/>
      <c r="C1" s="2" t="n"/>
      <c r="D1" s="2" t="n"/>
      <c r="E1" s="2" t="n"/>
    </row>
    <row r="2">
      <c r="A2" s="3" t="inlineStr">
        <is>
          <t>Registre cada conquista com a data. Pontos e semana saem sozinhos.</t>
        </is>
      </c>
      <c r="B2" s="2" t="n"/>
      <c r="C2" s="2" t="n"/>
      <c r="D2" s="2" t="n"/>
      <c r="E2" s="2" t="n"/>
    </row>
    <row r="4" ht="36" customHeight="1">
      <c r="A4" s="8" t="inlineStr">
        <is>
          <t>Data</t>
        </is>
      </c>
      <c r="B4" s="8" t="inlineStr">
        <is>
          <t>Semana</t>
        </is>
      </c>
      <c r="C4" s="8" t="inlineStr">
        <is>
          <t>Conquista</t>
        </is>
      </c>
      <c r="D4" s="8" t="inlineStr">
        <is>
          <t>Pontos</t>
        </is>
      </c>
      <c r="E4" s="8" t="inlineStr">
        <is>
          <t>Detalhe</t>
        </is>
      </c>
      <c r="H4" s="35" t="inlineStr">
        <is>
          <t>Tipos de conquista</t>
        </is>
      </c>
      <c r="I4" s="35" t="inlineStr">
        <is>
          <t>Pontos</t>
        </is>
      </c>
    </row>
    <row r="5">
      <c r="A5" s="36" t="n"/>
      <c r="B5" s="9">
        <f>IF(A5="","",IF(A5&lt;DATE(2026,11,9),1,INT((A5-DATE(2026,11,9))/7)+2))</f>
        <v/>
      </c>
      <c r="C5" s="9" t="n"/>
      <c r="D5" s="9">
        <f>IF(C5="","",IFERROR(VLOOKUP(C5,$H$5:$I$8,2,FALSE),0))</f>
        <v/>
      </c>
      <c r="E5" s="31" t="n"/>
      <c r="H5" s="9" t="inlineStr">
        <is>
          <t>Evolução no teste de Corpo forte (dias 15, 30, 45)</t>
        </is>
      </c>
      <c r="I5" s="9" t="n">
        <v>10</v>
      </c>
    </row>
    <row r="6">
      <c r="A6" s="36" t="n"/>
      <c r="B6" s="9">
        <f>IF(A6="","",IF(A6&lt;DATE(2026,11,9),1,INT((A6-DATE(2026,11,9))/7)+2))</f>
        <v/>
      </c>
      <c r="C6" s="9" t="n"/>
      <c r="D6" s="9">
        <f>IF(C6="","",IFERROR(VLOOKUP(C6,$H$5:$I$8,2,FALSE),0))</f>
        <v/>
      </c>
      <c r="E6" s="31" t="n"/>
      <c r="H6" s="9" t="inlineStr">
        <is>
          <t>Demonstração da Habilidade nova no dia 45</t>
        </is>
      </c>
      <c r="I6" s="9" t="n">
        <v>15</v>
      </c>
    </row>
    <row r="7">
      <c r="A7" s="36" t="n"/>
      <c r="B7" s="9">
        <f>IF(A7="","",IF(A7&lt;DATE(2026,11,9),1,INT((A7-DATE(2026,11,9))/7)+2))</f>
        <v/>
      </c>
      <c r="C7" s="9" t="n"/>
      <c r="D7" s="9">
        <f>IF(C7="","",IFERROR(VLOOKUP(C7,$H$5:$I$8,2,FALSE),0))</f>
        <v/>
      </c>
      <c r="E7" s="31" t="n"/>
      <c r="H7" s="9" t="inlineStr">
        <is>
          <t>Motivar um amigo desanimado</t>
        </is>
      </c>
      <c r="I7" s="9" t="n">
        <v>5</v>
      </c>
    </row>
    <row r="8">
      <c r="A8" s="36" t="n"/>
      <c r="B8" s="9">
        <f>IF(A8="","",IF(A8&lt;DATE(2026,11,9),1,INT((A8-DATE(2026,11,9))/7)+2))</f>
        <v/>
      </c>
      <c r="C8" s="9" t="n"/>
      <c r="D8" s="9">
        <f>IF(C8="","",IFERROR(VLOOKUP(C8,$H$5:$I$8,2,FALSE),0))</f>
        <v/>
      </c>
      <c r="E8" s="31" t="n"/>
      <c r="H8" s="9" t="inlineStr">
        <is>
          <t>Primeira vez acertando algo novo</t>
        </is>
      </c>
      <c r="I8" s="9" t="n">
        <v>5</v>
      </c>
    </row>
    <row r="9">
      <c r="A9" s="36" t="n"/>
      <c r="B9" s="9">
        <f>IF(A9="","",IF(A9&lt;DATE(2026,11,9),1,INT((A9-DATE(2026,11,9))/7)+2))</f>
        <v/>
      </c>
      <c r="C9" s="9" t="n"/>
      <c r="D9" s="9">
        <f>IF(C9="","",IFERROR(VLOOKUP(C9,$H$5:$I$8,2,FALSE),0))</f>
        <v/>
      </c>
      <c r="E9" s="31" t="n"/>
    </row>
    <row r="10">
      <c r="A10" s="36" t="n"/>
      <c r="B10" s="9">
        <f>IF(A10="","",IF(A10&lt;DATE(2026,11,9),1,INT((A10-DATE(2026,11,9))/7)+2))</f>
        <v/>
      </c>
      <c r="C10" s="9" t="n"/>
      <c r="D10" s="9">
        <f>IF(C10="","",IFERROR(VLOOKUP(C10,$H$5:$I$8,2,FALSE),0))</f>
        <v/>
      </c>
      <c r="E10" s="31" t="n"/>
    </row>
    <row r="11">
      <c r="A11" s="36" t="n"/>
      <c r="B11" s="9">
        <f>IF(A11="","",IF(A11&lt;DATE(2026,11,9),1,INT((A11-DATE(2026,11,9))/7)+2))</f>
        <v/>
      </c>
      <c r="C11" s="9" t="n"/>
      <c r="D11" s="9">
        <f>IF(C11="","",IFERROR(VLOOKUP(C11,$H$5:$I$8,2,FALSE),0))</f>
        <v/>
      </c>
      <c r="E11" s="31" t="n"/>
    </row>
    <row r="12">
      <c r="A12" s="36" t="n"/>
      <c r="B12" s="9">
        <f>IF(A12="","",IF(A12&lt;DATE(2026,11,9),1,INT((A12-DATE(2026,11,9))/7)+2))</f>
        <v/>
      </c>
      <c r="C12" s="9" t="n"/>
      <c r="D12" s="9">
        <f>IF(C12="","",IFERROR(VLOOKUP(C12,$H$5:$I$8,2,FALSE),0))</f>
        <v/>
      </c>
      <c r="E12" s="31" t="n"/>
    </row>
    <row r="13">
      <c r="A13" s="36" t="n"/>
      <c r="B13" s="9">
        <f>IF(A13="","",IF(A13&lt;DATE(2026,11,9),1,INT((A13-DATE(2026,11,9))/7)+2))</f>
        <v/>
      </c>
      <c r="C13" s="9" t="n"/>
      <c r="D13" s="9">
        <f>IF(C13="","",IFERROR(VLOOKUP(C13,$H$5:$I$8,2,FALSE),0))</f>
        <v/>
      </c>
      <c r="E13" s="31" t="n"/>
    </row>
    <row r="14">
      <c r="A14" s="36" t="n"/>
      <c r="B14" s="9">
        <f>IF(A14="","",IF(A14&lt;DATE(2026,11,9),1,INT((A14-DATE(2026,11,9))/7)+2))</f>
        <v/>
      </c>
      <c r="C14" s="9" t="n"/>
      <c r="D14" s="9">
        <f>IF(C14="","",IFERROR(VLOOKUP(C14,$H$5:$I$8,2,FALSE),0))</f>
        <v/>
      </c>
      <c r="E14" s="31" t="n"/>
    </row>
    <row r="15">
      <c r="A15" s="36" t="n"/>
      <c r="B15" s="9">
        <f>IF(A15="","",IF(A15&lt;DATE(2026,11,9),1,INT((A15-DATE(2026,11,9))/7)+2))</f>
        <v/>
      </c>
      <c r="C15" s="9" t="n"/>
      <c r="D15" s="9">
        <f>IF(C15="","",IFERROR(VLOOKUP(C15,$H$5:$I$8,2,FALSE),0))</f>
        <v/>
      </c>
      <c r="E15" s="31" t="n"/>
    </row>
    <row r="16">
      <c r="A16" s="36" t="n"/>
      <c r="B16" s="9">
        <f>IF(A16="","",IF(A16&lt;DATE(2026,11,9),1,INT((A16-DATE(2026,11,9))/7)+2))</f>
        <v/>
      </c>
      <c r="C16" s="9" t="n"/>
      <c r="D16" s="9">
        <f>IF(C16="","",IFERROR(VLOOKUP(C16,$H$5:$I$8,2,FALSE),0))</f>
        <v/>
      </c>
      <c r="E16" s="31" t="n"/>
    </row>
    <row r="17">
      <c r="A17" s="36" t="n"/>
      <c r="B17" s="9">
        <f>IF(A17="","",IF(A17&lt;DATE(2026,11,9),1,INT((A17-DATE(2026,11,9))/7)+2))</f>
        <v/>
      </c>
      <c r="C17" s="9" t="n"/>
      <c r="D17" s="9">
        <f>IF(C17="","",IFERROR(VLOOKUP(C17,$H$5:$I$8,2,FALSE),0))</f>
        <v/>
      </c>
      <c r="E17" s="31" t="n"/>
    </row>
    <row r="18">
      <c r="A18" s="36" t="n"/>
      <c r="B18" s="9">
        <f>IF(A18="","",IF(A18&lt;DATE(2026,11,9),1,INT((A18-DATE(2026,11,9))/7)+2))</f>
        <v/>
      </c>
      <c r="C18" s="9" t="n"/>
      <c r="D18" s="9">
        <f>IF(C18="","",IFERROR(VLOOKUP(C18,$H$5:$I$8,2,FALSE),0))</f>
        <v/>
      </c>
      <c r="E18" s="31" t="n"/>
    </row>
    <row r="19">
      <c r="A19" s="36" t="n"/>
      <c r="B19" s="9">
        <f>IF(A19="","",IF(A19&lt;DATE(2026,11,9),1,INT((A19-DATE(2026,11,9))/7)+2))</f>
        <v/>
      </c>
      <c r="C19" s="9" t="n"/>
      <c r="D19" s="9">
        <f>IF(C19="","",IFERROR(VLOOKUP(C19,$H$5:$I$8,2,FALSE),0))</f>
        <v/>
      </c>
      <c r="E19" s="31" t="n"/>
    </row>
    <row r="20">
      <c r="A20" s="36" t="n"/>
      <c r="B20" s="9">
        <f>IF(A20="","",IF(A20&lt;DATE(2026,11,9),1,INT((A20-DATE(2026,11,9))/7)+2))</f>
        <v/>
      </c>
      <c r="C20" s="9" t="n"/>
      <c r="D20" s="9">
        <f>IF(C20="","",IFERROR(VLOOKUP(C20,$H$5:$I$8,2,FALSE),0))</f>
        <v/>
      </c>
      <c r="E20" s="31" t="n"/>
    </row>
    <row r="21">
      <c r="A21" s="36" t="n"/>
      <c r="B21" s="9">
        <f>IF(A21="","",IF(A21&lt;DATE(2026,11,9),1,INT((A21-DATE(2026,11,9))/7)+2))</f>
        <v/>
      </c>
      <c r="C21" s="9" t="n"/>
      <c r="D21" s="9">
        <f>IF(C21="","",IFERROR(VLOOKUP(C21,$H$5:$I$8,2,FALSE),0))</f>
        <v/>
      </c>
      <c r="E21" s="31" t="n"/>
    </row>
    <row r="22">
      <c r="A22" s="36" t="n"/>
      <c r="B22" s="9">
        <f>IF(A22="","",IF(A22&lt;DATE(2026,11,9),1,INT((A22-DATE(2026,11,9))/7)+2))</f>
        <v/>
      </c>
      <c r="C22" s="9" t="n"/>
      <c r="D22" s="9">
        <f>IF(C22="","",IFERROR(VLOOKUP(C22,$H$5:$I$8,2,FALSE),0))</f>
        <v/>
      </c>
      <c r="E22" s="31" t="n"/>
    </row>
    <row r="23">
      <c r="A23" s="36" t="n"/>
      <c r="B23" s="9">
        <f>IF(A23="","",IF(A23&lt;DATE(2026,11,9),1,INT((A23-DATE(2026,11,9))/7)+2))</f>
        <v/>
      </c>
      <c r="C23" s="9" t="n"/>
      <c r="D23" s="9">
        <f>IF(C23="","",IFERROR(VLOOKUP(C23,$H$5:$I$8,2,FALSE),0))</f>
        <v/>
      </c>
      <c r="E23" s="31" t="n"/>
    </row>
    <row r="24">
      <c r="A24" s="36" t="n"/>
      <c r="B24" s="9">
        <f>IF(A24="","",IF(A24&lt;DATE(2026,11,9),1,INT((A24-DATE(2026,11,9))/7)+2))</f>
        <v/>
      </c>
      <c r="C24" s="9" t="n"/>
      <c r="D24" s="9">
        <f>IF(C24="","",IFERROR(VLOOKUP(C24,$H$5:$I$8,2,FALSE),0))</f>
        <v/>
      </c>
      <c r="E24" s="31" t="n"/>
    </row>
    <row r="25">
      <c r="A25" s="36" t="n"/>
      <c r="B25" s="9">
        <f>IF(A25="","",IF(A25&lt;DATE(2026,11,9),1,INT((A25-DATE(2026,11,9))/7)+2))</f>
        <v/>
      </c>
      <c r="C25" s="9" t="n"/>
      <c r="D25" s="9">
        <f>IF(C25="","",IFERROR(VLOOKUP(C25,$H$5:$I$8,2,FALSE),0))</f>
        <v/>
      </c>
      <c r="E25" s="31" t="n"/>
    </row>
    <row r="26">
      <c r="A26" s="36" t="n"/>
      <c r="B26" s="9">
        <f>IF(A26="","",IF(A26&lt;DATE(2026,11,9),1,INT((A26-DATE(2026,11,9))/7)+2))</f>
        <v/>
      </c>
      <c r="C26" s="9" t="n"/>
      <c r="D26" s="9">
        <f>IF(C26="","",IFERROR(VLOOKUP(C26,$H$5:$I$8,2,FALSE),0))</f>
        <v/>
      </c>
      <c r="E26" s="31" t="n"/>
    </row>
    <row r="27">
      <c r="A27" s="36" t="n"/>
      <c r="B27" s="9">
        <f>IF(A27="","",IF(A27&lt;DATE(2026,11,9),1,INT((A27-DATE(2026,11,9))/7)+2))</f>
        <v/>
      </c>
      <c r="C27" s="9" t="n"/>
      <c r="D27" s="9">
        <f>IF(C27="","",IFERROR(VLOOKUP(C27,$H$5:$I$8,2,FALSE),0))</f>
        <v/>
      </c>
      <c r="E27" s="31" t="n"/>
    </row>
    <row r="28">
      <c r="A28" s="36" t="n"/>
      <c r="B28" s="9">
        <f>IF(A28="","",IF(A28&lt;DATE(2026,11,9),1,INT((A28-DATE(2026,11,9))/7)+2))</f>
        <v/>
      </c>
      <c r="C28" s="9" t="n"/>
      <c r="D28" s="9">
        <f>IF(C28="","",IFERROR(VLOOKUP(C28,$H$5:$I$8,2,FALSE),0))</f>
        <v/>
      </c>
      <c r="E28" s="31" t="n"/>
    </row>
    <row r="29">
      <c r="A29" s="36" t="n"/>
      <c r="B29" s="9">
        <f>IF(A29="","",IF(A29&lt;DATE(2026,11,9),1,INT((A29-DATE(2026,11,9))/7)+2))</f>
        <v/>
      </c>
      <c r="C29" s="9" t="n"/>
      <c r="D29" s="9">
        <f>IF(C29="","",IFERROR(VLOOKUP(C29,$H$5:$I$8,2,FALSE),0))</f>
        <v/>
      </c>
      <c r="E29" s="31" t="n"/>
    </row>
    <row r="30">
      <c r="A30" s="36" t="n"/>
      <c r="B30" s="9">
        <f>IF(A30="","",IF(A30&lt;DATE(2026,11,9),1,INT((A30-DATE(2026,11,9))/7)+2))</f>
        <v/>
      </c>
      <c r="C30" s="9" t="n"/>
      <c r="D30" s="9">
        <f>IF(C30="","",IFERROR(VLOOKUP(C30,$H$5:$I$8,2,FALSE),0))</f>
        <v/>
      </c>
      <c r="E30" s="31" t="n"/>
    </row>
    <row r="31">
      <c r="A31" s="36" t="n"/>
      <c r="B31" s="9">
        <f>IF(A31="","",IF(A31&lt;DATE(2026,11,9),1,INT((A31-DATE(2026,11,9))/7)+2))</f>
        <v/>
      </c>
      <c r="C31" s="9" t="n"/>
      <c r="D31" s="9">
        <f>IF(C31="","",IFERROR(VLOOKUP(C31,$H$5:$I$8,2,FALSE),0))</f>
        <v/>
      </c>
      <c r="E31" s="31" t="n"/>
    </row>
    <row r="32">
      <c r="A32" s="36" t="n"/>
      <c r="B32" s="9">
        <f>IF(A32="","",IF(A32&lt;DATE(2026,11,9),1,INT((A32-DATE(2026,11,9))/7)+2))</f>
        <v/>
      </c>
      <c r="C32" s="9" t="n"/>
      <c r="D32" s="9">
        <f>IF(C32="","",IFERROR(VLOOKUP(C32,$H$5:$I$8,2,FALSE),0))</f>
        <v/>
      </c>
      <c r="E32" s="31" t="n"/>
    </row>
    <row r="33">
      <c r="A33" s="36" t="n"/>
      <c r="B33" s="9">
        <f>IF(A33="","",IF(A33&lt;DATE(2026,11,9),1,INT((A33-DATE(2026,11,9))/7)+2))</f>
        <v/>
      </c>
      <c r="C33" s="9" t="n"/>
      <c r="D33" s="9">
        <f>IF(C33="","",IFERROR(VLOOKUP(C33,$H$5:$I$8,2,FALSE),0))</f>
        <v/>
      </c>
      <c r="E33" s="31" t="n"/>
    </row>
    <row r="34">
      <c r="A34" s="36" t="n"/>
      <c r="B34" s="9">
        <f>IF(A34="","",IF(A34&lt;DATE(2026,11,9),1,INT((A34-DATE(2026,11,9))/7)+2))</f>
        <v/>
      </c>
      <c r="C34" s="9" t="n"/>
      <c r="D34" s="9">
        <f>IF(C34="","",IFERROR(VLOOKUP(C34,$H$5:$I$8,2,FALSE),0))</f>
        <v/>
      </c>
      <c r="E34" s="31" t="n"/>
    </row>
  </sheetData>
  <mergeCells count="2">
    <mergeCell ref="A2:E2"/>
    <mergeCell ref="A1:E1"/>
  </mergeCells>
  <dataValidations count="1">
    <dataValidation sqref="C5:C34" showDropDown="0" showInputMessage="0" showErrorMessage="0" allowBlank="1" type="list">
      <formula1>=$H$5:$H$8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6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9" customWidth="1" min="9" max="9"/>
    <col width="12" customWidth="1" min="10" max="10"/>
    <col width="12" customWidth="1" min="11" max="11"/>
    <col width="11" customWidth="1" min="12" max="12"/>
    <col width="13" customWidth="1" min="13" max="13"/>
  </cols>
  <sheetData>
    <row r="1" ht="30" customHeight="1">
      <c r="A1" s="1" t="inlineStr">
        <is>
          <t>RESUMO SEMANAL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Calculado a partir de Acompanhamento e Conquistas. Envie o total ao organizador todo domingo.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4" ht="40" customHeight="1">
      <c r="A4" s="8" t="inlineStr">
        <is>
          <t>Semana</t>
        </is>
      </c>
      <c r="B4" s="8" t="inlineStr">
        <is>
          <t>Período</t>
        </is>
      </c>
      <c r="C4" s="8" t="inlineStr">
        <is>
          <t>Dias</t>
        </is>
      </c>
      <c r="D4" s="8" t="inlineStr">
        <is>
          <t>Check-ins</t>
        </is>
      </c>
      <c r="E4" s="8" t="inlineStr">
        <is>
          <t>Pontos diários</t>
        </is>
      </c>
      <c r="F4" s="19" t="inlineStr">
        <is>
          <t>Dias Corpo forte</t>
        </is>
      </c>
      <c r="G4" s="22" t="inlineStr">
        <is>
          <t>Dias Habilidade</t>
        </is>
      </c>
      <c r="H4" s="23" t="inlineStr">
        <is>
          <t>Objetivos Plus</t>
        </is>
      </c>
      <c r="I4" s="8" t="inlineStr">
        <is>
          <t>Bônus Plus</t>
        </is>
      </c>
      <c r="J4" s="8" t="inlineStr">
        <is>
          <t>Bônus consistência</t>
        </is>
      </c>
      <c r="K4" s="8" t="inlineStr">
        <is>
          <t>Bônus metas semanais</t>
        </is>
      </c>
      <c r="L4" s="8" t="inlineStr">
        <is>
          <t>Conquistas</t>
        </is>
      </c>
      <c r="M4" s="23" t="inlineStr">
        <is>
          <t>TOTAL DA SEMANA</t>
        </is>
      </c>
    </row>
    <row r="5">
      <c r="A5" s="9" t="n">
        <v>1</v>
      </c>
      <c r="B5" s="9" t="inlineStr">
        <is>
          <t>06/11 a 08/11</t>
        </is>
      </c>
      <c r="C5" s="9">
        <f>COUNTIF(Acompanhamento!$D$5:$D$49,A5)</f>
        <v/>
      </c>
      <c r="D5" s="9">
        <f>COUNTIFS(Acompanhamento!$D$5:$D$49,A5,Acompanhamento!$E$5:$E$49,"✓")</f>
        <v/>
      </c>
      <c r="E5" s="9">
        <f>SUMIF(Acompanhamento!$D$5:$D$49,A5,Acompanhamento!$L$5:$L$49)</f>
        <v/>
      </c>
      <c r="F5" s="9">
        <f>COUNTIFS(Acompanhamento!$D$5:$D$49,A5,Acompanhamento!$I$5:$I$49,"✓")</f>
        <v/>
      </c>
      <c r="G5" s="9">
        <f>COUNTIFS(Acompanhamento!$D$5:$D$49,A5,Acompanhamento!$J$5:$J$49,"✓")</f>
        <v/>
      </c>
      <c r="H5" s="9">
        <f>SUMIF(Acompanhamento!$D$5:$D$49,A5,Acompanhamento!$K$5:$K$49)</f>
        <v/>
      </c>
      <c r="I5" s="9">
        <f>MIN(H5,2)*5</f>
        <v/>
      </c>
      <c r="J5" s="9">
        <f>IF(D5&gt;=ROUNDUP(6*C5/7,0),10,0)</f>
        <v/>
      </c>
      <c r="K5" s="9">
        <f>IF(AND(G5&gt;=ROUNDUP(3*C5/7,0),F5&gt;=ROUNDUP(4*C5/7,0)),10,0)</f>
        <v/>
      </c>
      <c r="L5" s="9">
        <f>SUMIF(Conquistas!$B$5:$B$34,A5,Conquistas!$D$5:$D$34)</f>
        <v/>
      </c>
      <c r="M5" s="10">
        <f>E5+I5+J5+K5+L5</f>
        <v/>
      </c>
    </row>
    <row r="6">
      <c r="A6" s="9" t="n">
        <v>2</v>
      </c>
      <c r="B6" s="9" t="inlineStr">
        <is>
          <t>09/11 a 15/11</t>
        </is>
      </c>
      <c r="C6" s="9">
        <f>COUNTIF(Acompanhamento!$D$5:$D$49,A6)</f>
        <v/>
      </c>
      <c r="D6" s="9">
        <f>COUNTIFS(Acompanhamento!$D$5:$D$49,A6,Acompanhamento!$E$5:$E$49,"✓")</f>
        <v/>
      </c>
      <c r="E6" s="9">
        <f>SUMIF(Acompanhamento!$D$5:$D$49,A6,Acompanhamento!$L$5:$L$49)</f>
        <v/>
      </c>
      <c r="F6" s="9">
        <f>COUNTIFS(Acompanhamento!$D$5:$D$49,A6,Acompanhamento!$I$5:$I$49,"✓")</f>
        <v/>
      </c>
      <c r="G6" s="9">
        <f>COUNTIFS(Acompanhamento!$D$5:$D$49,A6,Acompanhamento!$J$5:$J$49,"✓")</f>
        <v/>
      </c>
      <c r="H6" s="9">
        <f>SUMIF(Acompanhamento!$D$5:$D$49,A6,Acompanhamento!$K$5:$K$49)</f>
        <v/>
      </c>
      <c r="I6" s="9">
        <f>MIN(H6,2)*5</f>
        <v/>
      </c>
      <c r="J6" s="9">
        <f>IF(D6&gt;=ROUNDUP(6*C6/7,0),10,0)</f>
        <v/>
      </c>
      <c r="K6" s="9">
        <f>IF(AND(G6&gt;=ROUNDUP(3*C6/7,0),F6&gt;=ROUNDUP(4*C6/7,0)),10,0)</f>
        <v/>
      </c>
      <c r="L6" s="9">
        <f>SUMIF(Conquistas!$B$5:$B$34,A6,Conquistas!$D$5:$D$34)</f>
        <v/>
      </c>
      <c r="M6" s="10">
        <f>E6+I6+J6+K6+L6</f>
        <v/>
      </c>
    </row>
    <row r="7">
      <c r="A7" s="9" t="n">
        <v>3</v>
      </c>
      <c r="B7" s="9" t="inlineStr">
        <is>
          <t>16/11 a 22/11</t>
        </is>
      </c>
      <c r="C7" s="9">
        <f>COUNTIF(Acompanhamento!$D$5:$D$49,A7)</f>
        <v/>
      </c>
      <c r="D7" s="9">
        <f>COUNTIFS(Acompanhamento!$D$5:$D$49,A7,Acompanhamento!$E$5:$E$49,"✓")</f>
        <v/>
      </c>
      <c r="E7" s="9">
        <f>SUMIF(Acompanhamento!$D$5:$D$49,A7,Acompanhamento!$L$5:$L$49)</f>
        <v/>
      </c>
      <c r="F7" s="9">
        <f>COUNTIFS(Acompanhamento!$D$5:$D$49,A7,Acompanhamento!$I$5:$I$49,"✓")</f>
        <v/>
      </c>
      <c r="G7" s="9">
        <f>COUNTIFS(Acompanhamento!$D$5:$D$49,A7,Acompanhamento!$J$5:$J$49,"✓")</f>
        <v/>
      </c>
      <c r="H7" s="9">
        <f>SUMIF(Acompanhamento!$D$5:$D$49,A7,Acompanhamento!$K$5:$K$49)</f>
        <v/>
      </c>
      <c r="I7" s="9">
        <f>MIN(H7,2)*5</f>
        <v/>
      </c>
      <c r="J7" s="9">
        <f>IF(D7&gt;=ROUNDUP(6*C7/7,0),10,0)</f>
        <v/>
      </c>
      <c r="K7" s="9">
        <f>IF(AND(G7&gt;=ROUNDUP(3*C7/7,0),F7&gt;=ROUNDUP(4*C7/7,0)),10,0)</f>
        <v/>
      </c>
      <c r="L7" s="9">
        <f>SUMIF(Conquistas!$B$5:$B$34,A7,Conquistas!$D$5:$D$34)</f>
        <v/>
      </c>
      <c r="M7" s="10">
        <f>E7+I7+J7+K7+L7</f>
        <v/>
      </c>
    </row>
    <row r="8">
      <c r="A8" s="9" t="n">
        <v>4</v>
      </c>
      <c r="B8" s="9" t="inlineStr">
        <is>
          <t>23/11 a 29/11</t>
        </is>
      </c>
      <c r="C8" s="9">
        <f>COUNTIF(Acompanhamento!$D$5:$D$49,A8)</f>
        <v/>
      </c>
      <c r="D8" s="9">
        <f>COUNTIFS(Acompanhamento!$D$5:$D$49,A8,Acompanhamento!$E$5:$E$49,"✓")</f>
        <v/>
      </c>
      <c r="E8" s="9">
        <f>SUMIF(Acompanhamento!$D$5:$D$49,A8,Acompanhamento!$L$5:$L$49)</f>
        <v/>
      </c>
      <c r="F8" s="9">
        <f>COUNTIFS(Acompanhamento!$D$5:$D$49,A8,Acompanhamento!$I$5:$I$49,"✓")</f>
        <v/>
      </c>
      <c r="G8" s="9">
        <f>COUNTIFS(Acompanhamento!$D$5:$D$49,A8,Acompanhamento!$J$5:$J$49,"✓")</f>
        <v/>
      </c>
      <c r="H8" s="9">
        <f>SUMIF(Acompanhamento!$D$5:$D$49,A8,Acompanhamento!$K$5:$K$49)</f>
        <v/>
      </c>
      <c r="I8" s="9">
        <f>MIN(H8,2)*5</f>
        <v/>
      </c>
      <c r="J8" s="9">
        <f>IF(D8&gt;=ROUNDUP(6*C8/7,0),10,0)</f>
        <v/>
      </c>
      <c r="K8" s="9">
        <f>IF(AND(G8&gt;=ROUNDUP(3*C8/7,0),F8&gt;=ROUNDUP(4*C8/7,0)),10,0)</f>
        <v/>
      </c>
      <c r="L8" s="9">
        <f>SUMIF(Conquistas!$B$5:$B$34,A8,Conquistas!$D$5:$D$34)</f>
        <v/>
      </c>
      <c r="M8" s="10">
        <f>E8+I8+J8+K8+L8</f>
        <v/>
      </c>
    </row>
    <row r="9">
      <c r="A9" s="9" t="n">
        <v>5</v>
      </c>
      <c r="B9" s="9" t="inlineStr">
        <is>
          <t>30/11 a 06/12</t>
        </is>
      </c>
      <c r="C9" s="9">
        <f>COUNTIF(Acompanhamento!$D$5:$D$49,A9)</f>
        <v/>
      </c>
      <c r="D9" s="9">
        <f>COUNTIFS(Acompanhamento!$D$5:$D$49,A9,Acompanhamento!$E$5:$E$49,"✓")</f>
        <v/>
      </c>
      <c r="E9" s="9">
        <f>SUMIF(Acompanhamento!$D$5:$D$49,A9,Acompanhamento!$L$5:$L$49)</f>
        <v/>
      </c>
      <c r="F9" s="9">
        <f>COUNTIFS(Acompanhamento!$D$5:$D$49,A9,Acompanhamento!$I$5:$I$49,"✓")</f>
        <v/>
      </c>
      <c r="G9" s="9">
        <f>COUNTIFS(Acompanhamento!$D$5:$D$49,A9,Acompanhamento!$J$5:$J$49,"✓")</f>
        <v/>
      </c>
      <c r="H9" s="9">
        <f>SUMIF(Acompanhamento!$D$5:$D$49,A9,Acompanhamento!$K$5:$K$49)</f>
        <v/>
      </c>
      <c r="I9" s="9">
        <f>MIN(H9,2)*5</f>
        <v/>
      </c>
      <c r="J9" s="9">
        <f>IF(D9&gt;=ROUNDUP(6*C9/7,0),10,0)</f>
        <v/>
      </c>
      <c r="K9" s="9">
        <f>IF(AND(G9&gt;=ROUNDUP(3*C9/7,0),F9&gt;=ROUNDUP(4*C9/7,0)),10,0)</f>
        <v/>
      </c>
      <c r="L9" s="9">
        <f>SUMIF(Conquistas!$B$5:$B$34,A9,Conquistas!$D$5:$D$34)</f>
        <v/>
      </c>
      <c r="M9" s="10">
        <f>E9+I9+J9+K9+L9</f>
        <v/>
      </c>
    </row>
    <row r="10">
      <c r="A10" s="9" t="n">
        <v>6</v>
      </c>
      <c r="B10" s="9" t="inlineStr">
        <is>
          <t>07/12 a 13/12</t>
        </is>
      </c>
      <c r="C10" s="9">
        <f>COUNTIF(Acompanhamento!$D$5:$D$49,A10)</f>
        <v/>
      </c>
      <c r="D10" s="9">
        <f>COUNTIFS(Acompanhamento!$D$5:$D$49,A10,Acompanhamento!$E$5:$E$49,"✓")</f>
        <v/>
      </c>
      <c r="E10" s="9">
        <f>SUMIF(Acompanhamento!$D$5:$D$49,A10,Acompanhamento!$L$5:$L$49)</f>
        <v/>
      </c>
      <c r="F10" s="9">
        <f>COUNTIFS(Acompanhamento!$D$5:$D$49,A10,Acompanhamento!$I$5:$I$49,"✓")</f>
        <v/>
      </c>
      <c r="G10" s="9">
        <f>COUNTIFS(Acompanhamento!$D$5:$D$49,A10,Acompanhamento!$J$5:$J$49,"✓")</f>
        <v/>
      </c>
      <c r="H10" s="9">
        <f>SUMIF(Acompanhamento!$D$5:$D$49,A10,Acompanhamento!$K$5:$K$49)</f>
        <v/>
      </c>
      <c r="I10" s="9">
        <f>MIN(H10,2)*5</f>
        <v/>
      </c>
      <c r="J10" s="9">
        <f>IF(D10&gt;=ROUNDUP(6*C10/7,0),10,0)</f>
        <v/>
      </c>
      <c r="K10" s="9">
        <f>IF(AND(G10&gt;=ROUNDUP(3*C10/7,0),F10&gt;=ROUNDUP(4*C10/7,0)),10,0)</f>
        <v/>
      </c>
      <c r="L10" s="9">
        <f>SUMIF(Conquistas!$B$5:$B$34,A10,Conquistas!$D$5:$D$34)</f>
        <v/>
      </c>
      <c r="M10" s="10">
        <f>E10+I10+J10+K10+L10</f>
        <v/>
      </c>
    </row>
    <row r="11">
      <c r="A11" s="9" t="n">
        <v>7</v>
      </c>
      <c r="B11" s="9" t="inlineStr">
        <is>
          <t>14/12 a 20/12</t>
        </is>
      </c>
      <c r="C11" s="9">
        <f>COUNTIF(Acompanhamento!$D$5:$D$49,A11)</f>
        <v/>
      </c>
      <c r="D11" s="9">
        <f>COUNTIFS(Acompanhamento!$D$5:$D$49,A11,Acompanhamento!$E$5:$E$49,"✓")</f>
        <v/>
      </c>
      <c r="E11" s="9">
        <f>SUMIF(Acompanhamento!$D$5:$D$49,A11,Acompanhamento!$L$5:$L$49)</f>
        <v/>
      </c>
      <c r="F11" s="9">
        <f>COUNTIFS(Acompanhamento!$D$5:$D$49,A11,Acompanhamento!$I$5:$I$49,"✓")</f>
        <v/>
      </c>
      <c r="G11" s="9">
        <f>COUNTIFS(Acompanhamento!$D$5:$D$49,A11,Acompanhamento!$J$5:$J$49,"✓")</f>
        <v/>
      </c>
      <c r="H11" s="9">
        <f>SUMIF(Acompanhamento!$D$5:$D$49,A11,Acompanhamento!$K$5:$K$49)</f>
        <v/>
      </c>
      <c r="I11" s="9">
        <f>MIN(H11,2)*5</f>
        <v/>
      </c>
      <c r="J11" s="9">
        <f>IF(D11&gt;=ROUNDUP(6*C11/7,0),10,0)</f>
        <v/>
      </c>
      <c r="K11" s="9">
        <f>IF(AND(G11&gt;=ROUNDUP(3*C11/7,0),F11&gt;=ROUNDUP(4*C11/7,0)),10,0)</f>
        <v/>
      </c>
      <c r="L11" s="9">
        <f>SUMIF(Conquistas!$B$5:$B$34,A11,Conquistas!$D$5:$D$34)</f>
        <v/>
      </c>
      <c r="M11" s="10">
        <f>E11+I11+J11+K11+L11</f>
        <v/>
      </c>
    </row>
    <row r="12">
      <c r="A12" s="34" t="inlineStr">
        <is>
          <t>TOTAL</t>
        </is>
      </c>
      <c r="B12" s="34" t="n"/>
      <c r="C12" s="34">
        <f>SUM(C5:C11)</f>
        <v/>
      </c>
      <c r="D12" s="34">
        <f>SUM(D5:D11)</f>
        <v/>
      </c>
      <c r="E12" s="34">
        <f>SUM(E5:E11)</f>
        <v/>
      </c>
      <c r="F12" s="34">
        <f>SUM(F5:F11)</f>
        <v/>
      </c>
      <c r="G12" s="34">
        <f>SUM(G5:G11)</f>
        <v/>
      </c>
      <c r="H12" s="34">
        <f>SUM(H5:H11)</f>
        <v/>
      </c>
      <c r="I12" s="34">
        <f>SUM(I5:I11)</f>
        <v/>
      </c>
      <c r="J12" s="34">
        <f>SUM(J5:J11)</f>
        <v/>
      </c>
      <c r="K12" s="34">
        <f>SUM(K5:K11)</f>
        <v/>
      </c>
      <c r="L12" s="34">
        <f>SUM(L5:L11)</f>
        <v/>
      </c>
      <c r="M12" s="34">
        <f>SUM(M5:M11)</f>
        <v/>
      </c>
    </row>
    <row r="14">
      <c r="A14" s="12" t="inlineStr">
        <is>
          <t>Bônus consistência: check-in em 6 de 7 dias. Bônus metas: Habilidade 3x e Corpo forte 4x na semana (semana 1 proporcional).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9" customWidth="1" min="10" max="10"/>
    <col width="15" customWidth="1" min="11" max="11"/>
  </cols>
  <sheetData>
    <row r="1" ht="30" customHeight="1">
      <c r="A1" s="1" t="inlineStr">
        <is>
          <t>RANKING GERAL · ORGANIZADOR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Lance o total semanal que cada participante enviar no domingo.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 ht="36" customHeight="1">
      <c r="A4" s="8" t="inlineStr">
        <is>
          <t>Participante</t>
        </is>
      </c>
      <c r="B4" s="8" t="inlineStr">
        <is>
          <t>Sem. 1</t>
        </is>
      </c>
      <c r="C4" s="8" t="inlineStr">
        <is>
          <t>Sem. 2</t>
        </is>
      </c>
      <c r="D4" s="8" t="inlineStr">
        <is>
          <t>Sem. 3</t>
        </is>
      </c>
      <c r="E4" s="8" t="inlineStr">
        <is>
          <t>Sem. 4</t>
        </is>
      </c>
      <c r="F4" s="8" t="inlineStr">
        <is>
          <t>Sem. 5</t>
        </is>
      </c>
      <c r="G4" s="8" t="inlineStr">
        <is>
          <t>Sem. 6</t>
        </is>
      </c>
      <c r="H4" s="8" t="inlineStr">
        <is>
          <t>Sem. 7</t>
        </is>
      </c>
      <c r="I4" s="23" t="inlineStr">
        <is>
          <t>TOTAL</t>
        </is>
      </c>
      <c r="J4" s="8" t="inlineStr">
        <is>
          <t>Posição</t>
        </is>
      </c>
      <c r="K4" s="8" t="inlineStr">
        <is>
          <t>Penalidade (R$)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10">
        <f>IF(A5="","",SUM(B5:H5))</f>
        <v/>
      </c>
      <c r="J5" s="9">
        <f>IF(A5="","",RANK(I5,$I$5:$I$24))</f>
        <v/>
      </c>
      <c r="K5" s="9">
        <f>IFERROR(VLOOKUP(A5,'Penalidade Solidária'!$A$5:$C$24,3,FALSE),"")</f>
        <v/>
      </c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10">
        <f>IF(A6="","",SUM(B6:H6))</f>
        <v/>
      </c>
      <c r="J6" s="9">
        <f>IF(A6="","",RANK(I6,$I$5:$I$24))</f>
        <v/>
      </c>
      <c r="K6" s="9">
        <f>IFERROR(VLOOKUP(A6,'Penalidade Solidária'!$A$5:$C$24,3,FALSE),"")</f>
        <v/>
      </c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10">
        <f>IF(A7="","",SUM(B7:H7))</f>
        <v/>
      </c>
      <c r="J7" s="9">
        <f>IF(A7="","",RANK(I7,$I$5:$I$24))</f>
        <v/>
      </c>
      <c r="K7" s="9">
        <f>IFERROR(VLOOKUP(A7,'Penalidade Solidária'!$A$5:$C$24,3,FALSE),"")</f>
        <v/>
      </c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10">
        <f>IF(A8="","",SUM(B8:H8))</f>
        <v/>
      </c>
      <c r="J8" s="9">
        <f>IF(A8="","",RANK(I8,$I$5:$I$24))</f>
        <v/>
      </c>
      <c r="K8" s="9">
        <f>IFERROR(VLOOKUP(A8,'Penalidade Solidária'!$A$5:$C$24,3,FALSE),"")</f>
        <v/>
      </c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10">
        <f>IF(A9="","",SUM(B9:H9))</f>
        <v/>
      </c>
      <c r="J9" s="9">
        <f>IF(A9="","",RANK(I9,$I$5:$I$24))</f>
        <v/>
      </c>
      <c r="K9" s="9">
        <f>IFERROR(VLOOKUP(A9,'Penalidade Solidária'!$A$5:$C$24,3,FALSE),"")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10">
        <f>IF(A10="","",SUM(B10:H10))</f>
        <v/>
      </c>
      <c r="J10" s="9">
        <f>IF(A10="","",RANK(I10,$I$5:$I$24))</f>
        <v/>
      </c>
      <c r="K10" s="9">
        <f>IFERROR(VLOOKUP(A10,'Penalidade Solidária'!$A$5:$C$24,3,FALSE),"")</f>
        <v/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10">
        <f>IF(A11="","",SUM(B11:H11))</f>
        <v/>
      </c>
      <c r="J11" s="9">
        <f>IF(A11="","",RANK(I11,$I$5:$I$24))</f>
        <v/>
      </c>
      <c r="K11" s="9">
        <f>IFERROR(VLOOKUP(A11,'Penalidade Solidária'!$A$5:$C$24,3,FALSE),"")</f>
        <v/>
      </c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10">
        <f>IF(A12="","",SUM(B12:H12))</f>
        <v/>
      </c>
      <c r="J12" s="9">
        <f>IF(A12="","",RANK(I12,$I$5:$I$24))</f>
        <v/>
      </c>
      <c r="K12" s="9">
        <f>IFERROR(VLOOKUP(A12,'Penalidade Solidária'!$A$5:$C$24,3,FALSE),"")</f>
        <v/>
      </c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10">
        <f>IF(A13="","",SUM(B13:H13))</f>
        <v/>
      </c>
      <c r="J13" s="9">
        <f>IF(A13="","",RANK(I13,$I$5:$I$24))</f>
        <v/>
      </c>
      <c r="K13" s="9">
        <f>IFERROR(VLOOKUP(A13,'Penalidade Solidária'!$A$5:$C$24,3,FALSE),"")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10">
        <f>IF(A14="","",SUM(B14:H14))</f>
        <v/>
      </c>
      <c r="J14" s="9">
        <f>IF(A14="","",RANK(I14,$I$5:$I$24))</f>
        <v/>
      </c>
      <c r="K14" s="9">
        <f>IFERROR(VLOOKUP(A14,'Penalidade Solidária'!$A$5:$C$24,3,FALSE),"")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10">
        <f>IF(A15="","",SUM(B15:H15))</f>
        <v/>
      </c>
      <c r="J15" s="9">
        <f>IF(A15="","",RANK(I15,$I$5:$I$24))</f>
        <v/>
      </c>
      <c r="K15" s="9">
        <f>IFERROR(VLOOKUP(A15,'Penalidade Solidária'!$A$5:$C$24,3,FALSE),"")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10">
        <f>IF(A16="","",SUM(B16:H16))</f>
        <v/>
      </c>
      <c r="J16" s="9">
        <f>IF(A16="","",RANK(I16,$I$5:$I$24))</f>
        <v/>
      </c>
      <c r="K16" s="9">
        <f>IFERROR(VLOOKUP(A16,'Penalidade Solidária'!$A$5:$C$24,3,FALSE),"")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10">
        <f>IF(A17="","",SUM(B17:H17))</f>
        <v/>
      </c>
      <c r="J17" s="9">
        <f>IF(A17="","",RANK(I17,$I$5:$I$24))</f>
        <v/>
      </c>
      <c r="K17" s="9">
        <f>IFERROR(VLOOKUP(A17,'Penalidade Solidária'!$A$5:$C$24,3,FALSE),"")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10">
        <f>IF(A18="","",SUM(B18:H18))</f>
        <v/>
      </c>
      <c r="J18" s="9">
        <f>IF(A18="","",RANK(I18,$I$5:$I$24))</f>
        <v/>
      </c>
      <c r="K18" s="9">
        <f>IFERROR(VLOOKUP(A18,'Penalidade Solidária'!$A$5:$C$24,3,FALSE),"")</f>
        <v/>
      </c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10">
        <f>IF(A19="","",SUM(B19:H19))</f>
        <v/>
      </c>
      <c r="J19" s="9">
        <f>IF(A19="","",RANK(I19,$I$5:$I$24))</f>
        <v/>
      </c>
      <c r="K19" s="9">
        <f>IFERROR(VLOOKUP(A19,'Penalidade Solidária'!$A$5:$C$24,3,FALSE),"")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10">
        <f>IF(A20="","",SUM(B20:H20))</f>
        <v/>
      </c>
      <c r="J20" s="9">
        <f>IF(A20="","",RANK(I20,$I$5:$I$24))</f>
        <v/>
      </c>
      <c r="K20" s="9">
        <f>IFERROR(VLOOKUP(A20,'Penalidade Solidária'!$A$5:$C$24,3,FALSE),"")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10">
        <f>IF(A21="","",SUM(B21:H21))</f>
        <v/>
      </c>
      <c r="J21" s="9">
        <f>IF(A21="","",RANK(I21,$I$5:$I$24))</f>
        <v/>
      </c>
      <c r="K21" s="9">
        <f>IFERROR(VLOOKUP(A21,'Penalidade Solidária'!$A$5:$C$24,3,FALSE),"")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10">
        <f>IF(A22="","",SUM(B22:H22))</f>
        <v/>
      </c>
      <c r="J22" s="9">
        <f>IF(A22="","",RANK(I22,$I$5:$I$24))</f>
        <v/>
      </c>
      <c r="K22" s="9">
        <f>IFERROR(VLOOKUP(A22,'Penalidade Solidária'!$A$5:$C$24,3,FALSE),"")</f>
        <v/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10">
        <f>IF(A23="","",SUM(B23:H23))</f>
        <v/>
      </c>
      <c r="J23" s="9">
        <f>IF(A23="","",RANK(I23,$I$5:$I$24))</f>
        <v/>
      </c>
      <c r="K23" s="9">
        <f>IFERROR(VLOOKUP(A23,'Penalidade Solidária'!$A$5:$C$24,3,FALSE),"")</f>
        <v/>
      </c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10">
        <f>IF(A24="","",SUM(B24:H24))</f>
        <v/>
      </c>
      <c r="J24" s="9">
        <f>IF(A24="","",RANK(I24,$I$5:$I$24))</f>
        <v/>
      </c>
      <c r="K24" s="9">
        <f>IFERROR(VLOOKUP(A24,'Penalidade Solidária'!$A$5:$C$24,3,FALSE),"")</f>
        <v/>
      </c>
    </row>
  </sheetData>
  <mergeCells count="2">
    <mergeCell ref="A2:K2"/>
    <mergeCell ref="A1:K1"/>
  </mergeCells>
  <conditionalFormatting sqref="A5:K24">
    <cfRule type="expression" priority="1" dxfId="3">
      <formula>$J5=1</formula>
    </cfRule>
    <cfRule type="expression" priority="2" dxfId="4">
      <formula>$J5=2</formula>
    </cfRule>
    <cfRule type="expression" priority="3" dxfId="5">
      <formula>$J5=3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0" customWidth="1" min="3" max="3"/>
    <col width="20" customWidth="1" min="4" max="4"/>
    <col width="20" customWidth="1" min="5" max="5"/>
    <col width="13" customWidth="1" min="6" max="6"/>
  </cols>
  <sheetData>
    <row r="1" ht="30" customHeight="1">
      <c r="A1" s="1" t="inlineStr">
        <is>
          <t>RANKING SEMANAL</t>
        </is>
      </c>
      <c r="B1" s="2" t="n"/>
      <c r="C1" s="2" t="n"/>
      <c r="D1" s="2" t="n"/>
      <c r="E1" s="2" t="n"/>
      <c r="F1" s="2" t="n"/>
    </row>
    <row r="2">
      <c r="A2" s="3" t="inlineStr">
        <is>
          <t>Preenchido todo domingo · 🥇 escolhe o restaurante da celebração</t>
        </is>
      </c>
      <c r="B2" s="2" t="n"/>
      <c r="C2" s="2" t="n"/>
      <c r="D2" s="2" t="n"/>
      <c r="E2" s="2" t="n"/>
      <c r="F2" s="2" t="n"/>
    </row>
    <row r="4" ht="36" customHeight="1">
      <c r="A4" s="8" t="inlineStr">
        <is>
          <t>Semana</t>
        </is>
      </c>
      <c r="B4" s="8" t="inlineStr">
        <is>
          <t>Período</t>
        </is>
      </c>
      <c r="C4" s="8" t="inlineStr">
        <is>
          <t>🥇 1º lugar</t>
        </is>
      </c>
      <c r="D4" s="8" t="inlineStr">
        <is>
          <t>🥈 2º lugar</t>
        </is>
      </c>
      <c r="E4" s="8" t="inlineStr">
        <is>
          <t>🥉 3º lugar</t>
        </is>
      </c>
      <c r="F4" s="8" t="inlineStr">
        <is>
          <t>Pontos do 1º</t>
        </is>
      </c>
    </row>
    <row r="5">
      <c r="A5" s="9" t="inlineStr">
        <is>
          <t>Semana 1</t>
        </is>
      </c>
      <c r="B5" s="9" t="inlineStr">
        <is>
          <t>06/11 a 08/11</t>
        </is>
      </c>
      <c r="C5" s="9" t="n"/>
      <c r="D5" s="9" t="n"/>
      <c r="E5" s="9" t="n"/>
      <c r="F5" s="9" t="n"/>
    </row>
    <row r="6">
      <c r="A6" s="9" t="inlineStr">
        <is>
          <t>Semana 2</t>
        </is>
      </c>
      <c r="B6" s="9" t="inlineStr">
        <is>
          <t>09/11 a 15/11</t>
        </is>
      </c>
      <c r="C6" s="9" t="n"/>
      <c r="D6" s="9" t="n"/>
      <c r="E6" s="9" t="n"/>
      <c r="F6" s="9" t="n"/>
    </row>
    <row r="7">
      <c r="A7" s="9" t="inlineStr">
        <is>
          <t>Semana 3</t>
        </is>
      </c>
      <c r="B7" s="9" t="inlineStr">
        <is>
          <t>16/11 a 22/11</t>
        </is>
      </c>
      <c r="C7" s="9" t="n"/>
      <c r="D7" s="9" t="n"/>
      <c r="E7" s="9" t="n"/>
      <c r="F7" s="9" t="n"/>
    </row>
    <row r="8">
      <c r="A8" s="9" t="inlineStr">
        <is>
          <t>Semana 4</t>
        </is>
      </c>
      <c r="B8" s="9" t="inlineStr">
        <is>
          <t>23/11 a 29/11</t>
        </is>
      </c>
      <c r="C8" s="9" t="n"/>
      <c r="D8" s="9" t="n"/>
      <c r="E8" s="9" t="n"/>
      <c r="F8" s="9" t="n"/>
    </row>
    <row r="9">
      <c r="A9" s="9" t="inlineStr">
        <is>
          <t>Semana 5</t>
        </is>
      </c>
      <c r="B9" s="9" t="inlineStr">
        <is>
          <t>30/11 a 06/12</t>
        </is>
      </c>
      <c r="C9" s="9" t="n"/>
      <c r="D9" s="9" t="n"/>
      <c r="E9" s="9" t="n"/>
      <c r="F9" s="9" t="n"/>
    </row>
    <row r="10">
      <c r="A10" s="9" t="inlineStr">
        <is>
          <t>Semana 6</t>
        </is>
      </c>
      <c r="B10" s="9" t="inlineStr">
        <is>
          <t>07/12 a 13/12</t>
        </is>
      </c>
      <c r="C10" s="9" t="n"/>
      <c r="D10" s="9" t="n"/>
      <c r="E10" s="9" t="n"/>
      <c r="F10" s="9" t="n"/>
    </row>
    <row r="11">
      <c r="A11" s="9" t="inlineStr">
        <is>
          <t>Semana 7</t>
        </is>
      </c>
      <c r="B11" s="9" t="inlineStr">
        <is>
          <t>14/12 a 20/12</t>
        </is>
      </c>
      <c r="C11" s="9" t="n"/>
      <c r="D11" s="9" t="n"/>
      <c r="E11" s="9" t="n"/>
      <c r="F11" s="9" t="n"/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15" customWidth="1" min="4" max="4"/>
    <col width="36" customWidth="1" min="5" max="5"/>
  </cols>
  <sheetData>
    <row r="1" ht="30" customHeight="1">
      <c r="A1" s="1" t="inlineStr">
        <is>
          <t>💙 PENALIDADE SOLIDÁRIA (OPCIONAL)</t>
        </is>
      </c>
      <c r="B1" s="2" t="n"/>
      <c r="C1" s="2" t="n"/>
      <c r="D1" s="2" t="n"/>
      <c r="E1" s="2" t="n"/>
    </row>
    <row r="2">
      <c r="A2" s="3" t="inlineStr">
        <is>
          <t>Só se o grupo combinar no dia 1 · R$ 10,00 por dia sem check-in</t>
        </is>
      </c>
      <c r="B2" s="2" t="n"/>
      <c r="C2" s="2" t="n"/>
      <c r="D2" s="2" t="n"/>
      <c r="E2" s="2" t="n"/>
    </row>
    <row r="4" ht="36" customHeight="1">
      <c r="A4" s="8" t="inlineStr">
        <is>
          <t>Participante</t>
        </is>
      </c>
      <c r="B4" s="8" t="inlineStr">
        <is>
          <t>Dias sem check-in</t>
        </is>
      </c>
      <c r="C4" s="8" t="inlineStr">
        <is>
          <t>Total acumulado (R$)</t>
        </is>
      </c>
      <c r="D4" s="8" t="inlineStr">
        <is>
          <t>Data da doação</t>
        </is>
      </c>
      <c r="E4" s="8" t="inlineStr">
        <is>
          <t>Para quem / observações</t>
        </is>
      </c>
    </row>
    <row r="5">
      <c r="A5" s="9" t="n"/>
      <c r="B5" s="9" t="n"/>
      <c r="C5" s="37">
        <f>IF(A5="","",B5*10)</f>
        <v/>
      </c>
      <c r="D5" s="36" t="n"/>
      <c r="E5" s="9" t="n"/>
    </row>
    <row r="6">
      <c r="A6" s="9" t="n"/>
      <c r="B6" s="9" t="n"/>
      <c r="C6" s="37">
        <f>IF(A6="","",B6*10)</f>
        <v/>
      </c>
      <c r="D6" s="36" t="n"/>
      <c r="E6" s="9" t="n"/>
    </row>
    <row r="7">
      <c r="A7" s="9" t="n"/>
      <c r="B7" s="9" t="n"/>
      <c r="C7" s="37">
        <f>IF(A7="","",B7*10)</f>
        <v/>
      </c>
      <c r="D7" s="36" t="n"/>
      <c r="E7" s="9" t="n"/>
    </row>
    <row r="8">
      <c r="A8" s="9" t="n"/>
      <c r="B8" s="9" t="n"/>
      <c r="C8" s="37">
        <f>IF(A8="","",B8*10)</f>
        <v/>
      </c>
      <c r="D8" s="36" t="n"/>
      <c r="E8" s="9" t="n"/>
    </row>
    <row r="9">
      <c r="A9" s="9" t="n"/>
      <c r="B9" s="9" t="n"/>
      <c r="C9" s="37">
        <f>IF(A9="","",B9*10)</f>
        <v/>
      </c>
      <c r="D9" s="36" t="n"/>
      <c r="E9" s="9" t="n"/>
    </row>
    <row r="10">
      <c r="A10" s="9" t="n"/>
      <c r="B10" s="9" t="n"/>
      <c r="C10" s="37">
        <f>IF(A10="","",B10*10)</f>
        <v/>
      </c>
      <c r="D10" s="36" t="n"/>
      <c r="E10" s="9" t="n"/>
    </row>
    <row r="11">
      <c r="A11" s="9" t="n"/>
      <c r="B11" s="9" t="n"/>
      <c r="C11" s="37">
        <f>IF(A11="","",B11*10)</f>
        <v/>
      </c>
      <c r="D11" s="36" t="n"/>
      <c r="E11" s="9" t="n"/>
    </row>
    <row r="12">
      <c r="A12" s="9" t="n"/>
      <c r="B12" s="9" t="n"/>
      <c r="C12" s="37">
        <f>IF(A12="","",B12*10)</f>
        <v/>
      </c>
      <c r="D12" s="36" t="n"/>
      <c r="E12" s="9" t="n"/>
    </row>
    <row r="13">
      <c r="A13" s="9" t="n"/>
      <c r="B13" s="9" t="n"/>
      <c r="C13" s="37">
        <f>IF(A13="","",B13*10)</f>
        <v/>
      </c>
      <c r="D13" s="36" t="n"/>
      <c r="E13" s="9" t="n"/>
    </row>
    <row r="14">
      <c r="A14" s="9" t="n"/>
      <c r="B14" s="9" t="n"/>
      <c r="C14" s="37">
        <f>IF(A14="","",B14*10)</f>
        <v/>
      </c>
      <c r="D14" s="36" t="n"/>
      <c r="E14" s="9" t="n"/>
    </row>
    <row r="15">
      <c r="A15" s="9" t="n"/>
      <c r="B15" s="9" t="n"/>
      <c r="C15" s="37">
        <f>IF(A15="","",B15*10)</f>
        <v/>
      </c>
      <c r="D15" s="36" t="n"/>
      <c r="E15" s="9" t="n"/>
    </row>
    <row r="16">
      <c r="A16" s="9" t="n"/>
      <c r="B16" s="9" t="n"/>
      <c r="C16" s="37">
        <f>IF(A16="","",B16*10)</f>
        <v/>
      </c>
      <c r="D16" s="36" t="n"/>
      <c r="E16" s="9" t="n"/>
    </row>
    <row r="17">
      <c r="A17" s="9" t="n"/>
      <c r="B17" s="9" t="n"/>
      <c r="C17" s="37">
        <f>IF(A17="","",B17*10)</f>
        <v/>
      </c>
      <c r="D17" s="36" t="n"/>
      <c r="E17" s="9" t="n"/>
    </row>
    <row r="18">
      <c r="A18" s="9" t="n"/>
      <c r="B18" s="9" t="n"/>
      <c r="C18" s="37">
        <f>IF(A18="","",B18*10)</f>
        <v/>
      </c>
      <c r="D18" s="36" t="n"/>
      <c r="E18" s="9" t="n"/>
    </row>
    <row r="19">
      <c r="A19" s="9" t="n"/>
      <c r="B19" s="9" t="n"/>
      <c r="C19" s="37">
        <f>IF(A19="","",B19*10)</f>
        <v/>
      </c>
      <c r="D19" s="36" t="n"/>
      <c r="E19" s="9" t="n"/>
    </row>
    <row r="20">
      <c r="A20" s="9" t="n"/>
      <c r="B20" s="9" t="n"/>
      <c r="C20" s="37">
        <f>IF(A20="","",B20*10)</f>
        <v/>
      </c>
      <c r="D20" s="36" t="n"/>
      <c r="E20" s="9" t="n"/>
    </row>
    <row r="21">
      <c r="A21" s="9" t="n"/>
      <c r="B21" s="9" t="n"/>
      <c r="C21" s="37">
        <f>IF(A21="","",B21*10)</f>
        <v/>
      </c>
      <c r="D21" s="36" t="n"/>
      <c r="E21" s="9" t="n"/>
    </row>
    <row r="22">
      <c r="A22" s="9" t="n"/>
      <c r="B22" s="9" t="n"/>
      <c r="C22" s="37">
        <f>IF(A22="","",B22*10)</f>
        <v/>
      </c>
      <c r="D22" s="36" t="n"/>
      <c r="E22" s="9" t="n"/>
    </row>
    <row r="23">
      <c r="A23" s="9" t="n"/>
      <c r="B23" s="9" t="n"/>
      <c r="C23" s="37">
        <f>IF(A23="","",B23*10)</f>
        <v/>
      </c>
      <c r="D23" s="36" t="n"/>
      <c r="E23" s="9" t="n"/>
    </row>
    <row r="24">
      <c r="A24" s="9" t="n"/>
      <c r="B24" s="9" t="n"/>
      <c r="C24" s="37">
        <f>IF(A24="","",B24*10)</f>
        <v/>
      </c>
      <c r="D24" s="36" t="n"/>
      <c r="E24" s="9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2026-10-25T02:36:19Z</dcterms:created>
  <dcterms:modified xmlns:dcterms="http://purl.org/dc/terms/" xmlns:xsi="http://www.w3.org/2001/XMLSchema-instance" xsi:type="dcterms:W3CDTF">2026-10-25T02:36:19Z</dcterms:modified>
</cp:coreProperties>
</file>